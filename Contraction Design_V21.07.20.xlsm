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wj79\Downloads\"/>
    </mc:Choice>
  </mc:AlternateContent>
  <xr:revisionPtr revIDLastSave="0" documentId="13_ncr:1_{26AC78F0-23FA-4B35-A9B9-DB0E7CC505AD}" xr6:coauthVersionLast="47" xr6:coauthVersionMax="47" xr10:uidLastSave="{00000000-0000-0000-0000-000000000000}"/>
  <bookViews>
    <workbookView xWindow="2295" yWindow="2295" windowWidth="21600" windowHeight="11505" firstSheet="1" activeTab="8" xr2:uid="{66D293DD-1AE1-40EF-8197-96B2B7DC9F47}"/>
  </bookViews>
  <sheets>
    <sheet name="Cubic" sheetId="1" r:id="rId1"/>
    <sheet name="Cosine" sheetId="3" r:id="rId2"/>
    <sheet name="Morel" sheetId="6" r:id="rId3"/>
    <sheet name="2-Cubic" sheetId="8" r:id="rId4"/>
    <sheet name="4th-order" sheetId="12" r:id="rId5"/>
    <sheet name="5th-order" sheetId="14" r:id="rId6"/>
    <sheet name="팀장님" sheetId="5" r:id="rId7"/>
    <sheet name="Contour Design" sheetId="7" r:id="rId8"/>
    <sheet name="!@10qpalzm" sheetId="1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7" l="1"/>
  <c r="A3" i="12" s="1"/>
  <c r="D3" i="14"/>
  <c r="H3" i="14" s="1"/>
  <c r="C3" i="14"/>
  <c r="B3" i="14"/>
  <c r="A3" i="14"/>
  <c r="D3" i="12"/>
  <c r="E4" i="12" s="1"/>
  <c r="C3" i="12"/>
  <c r="J5" i="12" s="1"/>
  <c r="J19" i="12" s="1"/>
  <c r="B3" i="12"/>
  <c r="D3" i="8"/>
  <c r="C3" i="8"/>
  <c r="B3" i="8"/>
  <c r="A3" i="8"/>
  <c r="D3" i="6"/>
  <c r="E4" i="6" s="1"/>
  <c r="E5" i="6" s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E123" i="6" s="1"/>
  <c r="E124" i="6" s="1"/>
  <c r="E125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E138" i="6" s="1"/>
  <c r="E139" i="6" s="1"/>
  <c r="E140" i="6" s="1"/>
  <c r="E141" i="6" s="1"/>
  <c r="E142" i="6" s="1"/>
  <c r="E143" i="6" s="1"/>
  <c r="E144" i="6" s="1"/>
  <c r="E145" i="6" s="1"/>
  <c r="E146" i="6" s="1"/>
  <c r="E147" i="6" s="1"/>
  <c r="E148" i="6" s="1"/>
  <c r="E149" i="6" s="1"/>
  <c r="E150" i="6" s="1"/>
  <c r="E151" i="6" s="1"/>
  <c r="E152" i="6" s="1"/>
  <c r="E153" i="6" s="1"/>
  <c r="E154" i="6" s="1"/>
  <c r="E155" i="6" s="1"/>
  <c r="E156" i="6" s="1"/>
  <c r="E157" i="6" s="1"/>
  <c r="E158" i="6" s="1"/>
  <c r="E159" i="6" s="1"/>
  <c r="E160" i="6" s="1"/>
  <c r="E161" i="6" s="1"/>
  <c r="E162" i="6" s="1"/>
  <c r="E163" i="6" s="1"/>
  <c r="E164" i="6" s="1"/>
  <c r="E165" i="6" s="1"/>
  <c r="E166" i="6" s="1"/>
  <c r="E167" i="6" s="1"/>
  <c r="E168" i="6" s="1"/>
  <c r="E169" i="6" s="1"/>
  <c r="E170" i="6" s="1"/>
  <c r="E171" i="6" s="1"/>
  <c r="E172" i="6" s="1"/>
  <c r="E173" i="6" s="1"/>
  <c r="E174" i="6" s="1"/>
  <c r="E175" i="6" s="1"/>
  <c r="E176" i="6" s="1"/>
  <c r="E177" i="6" s="1"/>
  <c r="E178" i="6" s="1"/>
  <c r="E179" i="6" s="1"/>
  <c r="E180" i="6" s="1"/>
  <c r="E181" i="6" s="1"/>
  <c r="E182" i="6" s="1"/>
  <c r="E183" i="6" s="1"/>
  <c r="E184" i="6" s="1"/>
  <c r="E185" i="6" s="1"/>
  <c r="E186" i="6" s="1"/>
  <c r="E187" i="6" s="1"/>
  <c r="E188" i="6" s="1"/>
  <c r="E189" i="6" s="1"/>
  <c r="E190" i="6" s="1"/>
  <c r="E191" i="6" s="1"/>
  <c r="E192" i="6" s="1"/>
  <c r="E193" i="6" s="1"/>
  <c r="E194" i="6" s="1"/>
  <c r="E195" i="6" s="1"/>
  <c r="E196" i="6" s="1"/>
  <c r="E197" i="6" s="1"/>
  <c r="E198" i="6" s="1"/>
  <c r="E199" i="6" s="1"/>
  <c r="E200" i="6" s="1"/>
  <c r="E201" i="6" s="1"/>
  <c r="E202" i="6" s="1"/>
  <c r="E203" i="6" s="1"/>
  <c r="C3" i="6"/>
  <c r="B3" i="6"/>
  <c r="A3" i="6"/>
  <c r="D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C3" i="3"/>
  <c r="B3" i="3"/>
  <c r="A3" i="3"/>
  <c r="C3" i="1"/>
  <c r="B3" i="1"/>
  <c r="A3" i="1"/>
  <c r="J6" i="12"/>
  <c r="J9" i="12" s="1"/>
  <c r="O6" i="12" s="1"/>
  <c r="R12" i="12"/>
  <c r="R11" i="12"/>
  <c r="D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H102" i="5"/>
  <c r="A3" i="5"/>
  <c r="G4" i="5"/>
  <c r="G9" i="5"/>
  <c r="G11" i="5"/>
  <c r="G15" i="5"/>
  <c r="G16" i="5"/>
  <c r="G17" i="5"/>
  <c r="G21" i="5"/>
  <c r="G22" i="5"/>
  <c r="G25" i="5"/>
  <c r="G27" i="5"/>
  <c r="G28" i="5"/>
  <c r="G29" i="5"/>
  <c r="G33" i="5"/>
  <c r="G34" i="5"/>
  <c r="G40" i="5"/>
  <c r="G42" i="5"/>
  <c r="G45" i="5"/>
  <c r="G47" i="5"/>
  <c r="G49" i="5"/>
  <c r="G51" i="5"/>
  <c r="G52" i="5"/>
  <c r="G53" i="5"/>
  <c r="G57" i="5"/>
  <c r="G58" i="5"/>
  <c r="G63" i="5"/>
  <c r="G64" i="5"/>
  <c r="G65" i="5"/>
  <c r="G67" i="5"/>
  <c r="G69" i="5"/>
  <c r="G71" i="5"/>
  <c r="G73" i="5"/>
  <c r="G75" i="5"/>
  <c r="G76" i="5"/>
  <c r="G77" i="5"/>
  <c r="G79" i="5"/>
  <c r="G81" i="5"/>
  <c r="G87" i="5"/>
  <c r="G88" i="5"/>
  <c r="G89" i="5"/>
  <c r="G92" i="5"/>
  <c r="G93" i="5"/>
  <c r="G97" i="5"/>
  <c r="G99" i="5"/>
  <c r="G100" i="5"/>
  <c r="G101" i="5"/>
  <c r="G103" i="5"/>
  <c r="G105" i="5"/>
  <c r="G111" i="5"/>
  <c r="G112" i="5"/>
  <c r="G113" i="5"/>
  <c r="G116" i="5"/>
  <c r="G117" i="5"/>
  <c r="G119" i="5"/>
  <c r="G123" i="5"/>
  <c r="G124" i="5"/>
  <c r="G125" i="5"/>
  <c r="G129" i="5"/>
  <c r="G131" i="5"/>
  <c r="G3" i="5"/>
  <c r="G14" i="5"/>
  <c r="G39" i="5"/>
  <c r="G83" i="5"/>
  <c r="G95" i="5"/>
  <c r="G8" i="5"/>
  <c r="G13" i="5"/>
  <c r="G24" i="5"/>
  <c r="G36" i="5"/>
  <c r="G37" i="5"/>
  <c r="G48" i="5"/>
  <c r="G60" i="5"/>
  <c r="G61" i="5"/>
  <c r="G68" i="5"/>
  <c r="G72" i="5"/>
  <c r="G78" i="5"/>
  <c r="G80" i="5"/>
  <c r="G84" i="5"/>
  <c r="G96" i="5"/>
  <c r="G109" i="5"/>
  <c r="G120" i="5"/>
  <c r="G121" i="5"/>
  <c r="G126" i="5"/>
  <c r="G5" i="5"/>
  <c r="G12" i="5"/>
  <c r="G41" i="5"/>
  <c r="G108" i="5"/>
  <c r="G35" i="5"/>
  <c r="G59" i="5"/>
  <c r="G85" i="5"/>
  <c r="I12" i="8"/>
  <c r="K6" i="8"/>
  <c r="J7" i="8"/>
  <c r="I7" i="8"/>
  <c r="I8" i="8"/>
  <c r="H3" i="8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128" i="5"/>
  <c r="G127" i="5"/>
  <c r="G115" i="5"/>
  <c r="G107" i="5"/>
  <c r="G104" i="5"/>
  <c r="G91" i="5"/>
  <c r="G56" i="5"/>
  <c r="G55" i="5"/>
  <c r="G44" i="5"/>
  <c r="G43" i="5"/>
  <c r="G32" i="5"/>
  <c r="G31" i="5"/>
  <c r="G23" i="5"/>
  <c r="G20" i="5"/>
  <c r="G19" i="5"/>
  <c r="G7" i="5"/>
  <c r="E4" i="8" l="1"/>
  <c r="E5" i="8" s="1"/>
  <c r="E6" i="8" s="1"/>
  <c r="F3" i="14"/>
  <c r="G3" i="14" s="1"/>
  <c r="E4" i="14"/>
  <c r="E5" i="14" s="1"/>
  <c r="H5" i="14" s="1"/>
  <c r="F5" i="14" s="1"/>
  <c r="G5" i="14" s="1"/>
  <c r="F4" i="8"/>
  <c r="F3" i="8"/>
  <c r="G3" i="8" s="1"/>
  <c r="J8" i="12"/>
  <c r="N6" i="12" s="1"/>
  <c r="M7" i="12"/>
  <c r="R6" i="12"/>
  <c r="R10" i="12" s="1"/>
  <c r="J7" i="12"/>
  <c r="O8" i="12" s="1"/>
  <c r="N8" i="12"/>
  <c r="E5" i="12"/>
  <c r="E7" i="8"/>
  <c r="F6" i="8"/>
  <c r="F5" i="8"/>
  <c r="F112" i="1"/>
  <c r="G112" i="1" s="1"/>
  <c r="F66" i="6"/>
  <c r="F47" i="1"/>
  <c r="G47" i="1" s="1"/>
  <c r="F153" i="1"/>
  <c r="G153" i="1" s="1"/>
  <c r="F8" i="1"/>
  <c r="G8" i="1" s="1"/>
  <c r="F30" i="1"/>
  <c r="G30" i="1" s="1"/>
  <c r="F199" i="1"/>
  <c r="G199" i="1" s="1"/>
  <c r="F176" i="1"/>
  <c r="G176" i="1" s="1"/>
  <c r="F69" i="1"/>
  <c r="G69" i="1" s="1"/>
  <c r="F152" i="1"/>
  <c r="G152" i="1" s="1"/>
  <c r="F91" i="1"/>
  <c r="G91" i="1" s="1"/>
  <c r="F130" i="1"/>
  <c r="G130" i="1" s="1"/>
  <c r="F31" i="1"/>
  <c r="G31" i="1" s="1"/>
  <c r="F70" i="1"/>
  <c r="G70" i="1" s="1"/>
  <c r="F131" i="1"/>
  <c r="G131" i="1" s="1"/>
  <c r="F198" i="1"/>
  <c r="G198" i="1" s="1"/>
  <c r="F32" i="1"/>
  <c r="G32" i="1" s="1"/>
  <c r="F93" i="1"/>
  <c r="G93" i="1" s="1"/>
  <c r="F115" i="1"/>
  <c r="G115" i="1" s="1"/>
  <c r="F191" i="1"/>
  <c r="G191" i="1" s="1"/>
  <c r="F174" i="1"/>
  <c r="G174" i="1" s="1"/>
  <c r="F150" i="1"/>
  <c r="G150" i="1" s="1"/>
  <c r="F11" i="1"/>
  <c r="G11" i="1" s="1"/>
  <c r="F33" i="1"/>
  <c r="G33" i="1" s="1"/>
  <c r="F55" i="1"/>
  <c r="G55" i="1" s="1"/>
  <c r="F76" i="1"/>
  <c r="G76" i="1" s="1"/>
  <c r="F94" i="1"/>
  <c r="G94" i="1" s="1"/>
  <c r="F116" i="1"/>
  <c r="G116" i="1" s="1"/>
  <c r="F190" i="1"/>
  <c r="G190" i="1" s="1"/>
  <c r="F167" i="1"/>
  <c r="G167" i="1" s="1"/>
  <c r="F143" i="1"/>
  <c r="G143" i="1" s="1"/>
  <c r="F52" i="1"/>
  <c r="G52" i="1" s="1"/>
  <c r="F92" i="1"/>
  <c r="G92" i="1" s="1"/>
  <c r="F54" i="1"/>
  <c r="G54" i="1" s="1"/>
  <c r="F78" i="1"/>
  <c r="G78" i="1" s="1"/>
  <c r="F95" i="1"/>
  <c r="G95" i="1" s="1"/>
  <c r="F142" i="1"/>
  <c r="G142" i="1" s="1"/>
  <c r="F18" i="1"/>
  <c r="G18" i="1" s="1"/>
  <c r="F35" i="1"/>
  <c r="G35" i="1" s="1"/>
  <c r="F57" i="1"/>
  <c r="G57" i="1" s="1"/>
  <c r="F79" i="1"/>
  <c r="G79" i="1" s="1"/>
  <c r="F100" i="1"/>
  <c r="G100" i="1" s="1"/>
  <c r="F118" i="1"/>
  <c r="G118" i="1" s="1"/>
  <c r="F188" i="1"/>
  <c r="G188" i="1" s="1"/>
  <c r="F165" i="1"/>
  <c r="G165" i="1" s="1"/>
  <c r="F141" i="1"/>
  <c r="G141" i="1" s="1"/>
  <c r="F34" i="1"/>
  <c r="G34" i="1" s="1"/>
  <c r="F117" i="1"/>
  <c r="G117" i="1" s="1"/>
  <c r="F189" i="1"/>
  <c r="G189" i="1" s="1"/>
  <c r="F166" i="1"/>
  <c r="G166" i="1" s="1"/>
  <c r="F19" i="1"/>
  <c r="G19" i="1" s="1"/>
  <c r="F40" i="1"/>
  <c r="G40" i="1" s="1"/>
  <c r="F58" i="1"/>
  <c r="G58" i="1" s="1"/>
  <c r="F80" i="1"/>
  <c r="G80" i="1" s="1"/>
  <c r="F102" i="1"/>
  <c r="G102" i="1" s="1"/>
  <c r="F119" i="1"/>
  <c r="G119" i="1" s="1"/>
  <c r="F187" i="1"/>
  <c r="G187" i="1" s="1"/>
  <c r="F164" i="1"/>
  <c r="G164" i="1" s="1"/>
  <c r="F140" i="1"/>
  <c r="G140" i="1" s="1"/>
  <c r="F9" i="1"/>
  <c r="G9" i="1" s="1"/>
  <c r="F114" i="1"/>
  <c r="G114" i="1" s="1"/>
  <c r="F42" i="1"/>
  <c r="G42" i="1" s="1"/>
  <c r="F139" i="1"/>
  <c r="G139" i="1" s="1"/>
  <c r="F21" i="1"/>
  <c r="G21" i="1" s="1"/>
  <c r="F43" i="1"/>
  <c r="G43" i="1" s="1"/>
  <c r="F64" i="1"/>
  <c r="G64" i="1" s="1"/>
  <c r="F82" i="1"/>
  <c r="G82" i="1" s="1"/>
  <c r="F104" i="1"/>
  <c r="G104" i="1" s="1"/>
  <c r="F126" i="1"/>
  <c r="G126" i="1" s="1"/>
  <c r="F203" i="1"/>
  <c r="G203" i="1" s="1"/>
  <c r="F181" i="1"/>
  <c r="G181" i="1" s="1"/>
  <c r="F162" i="1"/>
  <c r="G162" i="1" s="1"/>
  <c r="F175" i="1"/>
  <c r="G175" i="1" s="1"/>
  <c r="F10" i="1"/>
  <c r="G10" i="1" s="1"/>
  <c r="F16" i="1"/>
  <c r="G16" i="1" s="1"/>
  <c r="F20" i="1"/>
  <c r="G20" i="1" s="1"/>
  <c r="F103" i="1"/>
  <c r="G103" i="1" s="1"/>
  <c r="F186" i="1"/>
  <c r="G186" i="1" s="1"/>
  <c r="F4" i="1"/>
  <c r="G4" i="1" s="1"/>
  <c r="F22" i="1"/>
  <c r="G22" i="1" s="1"/>
  <c r="F44" i="1"/>
  <c r="G44" i="1" s="1"/>
  <c r="F66" i="1"/>
  <c r="G66" i="1" s="1"/>
  <c r="F83" i="1"/>
  <c r="G83" i="1" s="1"/>
  <c r="F105" i="1"/>
  <c r="G105" i="1" s="1"/>
  <c r="F127" i="1"/>
  <c r="G127" i="1" s="1"/>
  <c r="F202" i="1"/>
  <c r="G202" i="1" s="1"/>
  <c r="F179" i="1"/>
  <c r="G179" i="1" s="1"/>
  <c r="F155" i="1"/>
  <c r="G155" i="1" s="1"/>
  <c r="F56" i="1"/>
  <c r="G56" i="1" s="1"/>
  <c r="F81" i="1"/>
  <c r="G81" i="1" s="1"/>
  <c r="F163" i="1"/>
  <c r="G163" i="1" s="1"/>
  <c r="F6" i="1"/>
  <c r="G6" i="1" s="1"/>
  <c r="F23" i="1"/>
  <c r="G23" i="1" s="1"/>
  <c r="F45" i="1"/>
  <c r="G45" i="1" s="1"/>
  <c r="F67" i="1"/>
  <c r="G67" i="1" s="1"/>
  <c r="F88" i="1"/>
  <c r="G88" i="1" s="1"/>
  <c r="F106" i="1"/>
  <c r="G106" i="1" s="1"/>
  <c r="F128" i="1"/>
  <c r="G128" i="1" s="1"/>
  <c r="F201" i="1"/>
  <c r="G201" i="1" s="1"/>
  <c r="F178" i="1"/>
  <c r="G178" i="1" s="1"/>
  <c r="F154" i="1"/>
  <c r="G154" i="1" s="1"/>
  <c r="F151" i="1"/>
  <c r="G151" i="1" s="1"/>
  <c r="F71" i="1"/>
  <c r="G71" i="1" s="1"/>
  <c r="F59" i="1"/>
  <c r="G59" i="1" s="1"/>
  <c r="F124" i="1"/>
  <c r="G124" i="1" s="1"/>
  <c r="F7" i="1"/>
  <c r="G7" i="1" s="1"/>
  <c r="F28" i="1"/>
  <c r="G28" i="1" s="1"/>
  <c r="F46" i="1"/>
  <c r="G46" i="1" s="1"/>
  <c r="F68" i="1"/>
  <c r="G68" i="1" s="1"/>
  <c r="F90" i="1"/>
  <c r="G90" i="1" s="1"/>
  <c r="F107" i="1"/>
  <c r="G107" i="1" s="1"/>
  <c r="F129" i="1"/>
  <c r="G129" i="1" s="1"/>
  <c r="F200" i="1"/>
  <c r="G200" i="1" s="1"/>
  <c r="F177" i="1"/>
  <c r="G177" i="1" s="1"/>
  <c r="F132" i="1"/>
  <c r="G132" i="1" s="1"/>
  <c r="F12" i="1"/>
  <c r="G12" i="1" s="1"/>
  <c r="F24" i="1"/>
  <c r="G24" i="1" s="1"/>
  <c r="F36" i="1"/>
  <c r="G36" i="1" s="1"/>
  <c r="F48" i="1"/>
  <c r="G48" i="1" s="1"/>
  <c r="F60" i="1"/>
  <c r="G60" i="1" s="1"/>
  <c r="F72" i="1"/>
  <c r="G72" i="1" s="1"/>
  <c r="F84" i="1"/>
  <c r="G84" i="1" s="1"/>
  <c r="F96" i="1"/>
  <c r="G96" i="1" s="1"/>
  <c r="F108" i="1"/>
  <c r="G108" i="1" s="1"/>
  <c r="F120" i="1"/>
  <c r="G120" i="1" s="1"/>
  <c r="F197" i="1"/>
  <c r="G197" i="1" s="1"/>
  <c r="F185" i="1"/>
  <c r="G185" i="1" s="1"/>
  <c r="F173" i="1"/>
  <c r="G173" i="1" s="1"/>
  <c r="F161" i="1"/>
  <c r="G161" i="1" s="1"/>
  <c r="F149" i="1"/>
  <c r="G149" i="1" s="1"/>
  <c r="F137" i="1"/>
  <c r="G137" i="1" s="1"/>
  <c r="F13" i="1"/>
  <c r="G13" i="1" s="1"/>
  <c r="F25" i="1"/>
  <c r="G25" i="1" s="1"/>
  <c r="F37" i="1"/>
  <c r="G37" i="1" s="1"/>
  <c r="F49" i="1"/>
  <c r="G49" i="1" s="1"/>
  <c r="F61" i="1"/>
  <c r="G61" i="1" s="1"/>
  <c r="F73" i="1"/>
  <c r="G73" i="1" s="1"/>
  <c r="F85" i="1"/>
  <c r="G85" i="1" s="1"/>
  <c r="F97" i="1"/>
  <c r="G97" i="1" s="1"/>
  <c r="F109" i="1"/>
  <c r="G109" i="1" s="1"/>
  <c r="F121" i="1"/>
  <c r="G121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4" i="1"/>
  <c r="G14" i="1" s="1"/>
  <c r="F26" i="1"/>
  <c r="G26" i="1" s="1"/>
  <c r="F38" i="1"/>
  <c r="G38" i="1" s="1"/>
  <c r="F50" i="1"/>
  <c r="G50" i="1" s="1"/>
  <c r="F62" i="1"/>
  <c r="G62" i="1" s="1"/>
  <c r="F74" i="1"/>
  <c r="G74" i="1" s="1"/>
  <c r="F86" i="1"/>
  <c r="G86" i="1" s="1"/>
  <c r="F98" i="1"/>
  <c r="G98" i="1" s="1"/>
  <c r="F110" i="1"/>
  <c r="G110" i="1" s="1"/>
  <c r="F122" i="1"/>
  <c r="G122" i="1" s="1"/>
  <c r="F195" i="1"/>
  <c r="G195" i="1" s="1"/>
  <c r="F183" i="1"/>
  <c r="G183" i="1" s="1"/>
  <c r="F171" i="1"/>
  <c r="G171" i="1" s="1"/>
  <c r="F159" i="1"/>
  <c r="G159" i="1" s="1"/>
  <c r="F147" i="1"/>
  <c r="G147" i="1" s="1"/>
  <c r="F135" i="1"/>
  <c r="G135" i="1" s="1"/>
  <c r="F138" i="1"/>
  <c r="G138" i="1" s="1"/>
  <c r="F3" i="1"/>
  <c r="G3" i="1" s="1"/>
  <c r="F15" i="1"/>
  <c r="G15" i="1" s="1"/>
  <c r="F27" i="1"/>
  <c r="G27" i="1" s="1"/>
  <c r="F39" i="1"/>
  <c r="G39" i="1" s="1"/>
  <c r="F51" i="1"/>
  <c r="G51" i="1" s="1"/>
  <c r="F63" i="1"/>
  <c r="G63" i="1" s="1"/>
  <c r="F75" i="1"/>
  <c r="G75" i="1" s="1"/>
  <c r="F87" i="1"/>
  <c r="G87" i="1" s="1"/>
  <c r="F99" i="1"/>
  <c r="G99" i="1" s="1"/>
  <c r="F111" i="1"/>
  <c r="G111" i="1" s="1"/>
  <c r="F123" i="1"/>
  <c r="G123" i="1" s="1"/>
  <c r="F194" i="1"/>
  <c r="G194" i="1" s="1"/>
  <c r="F182" i="1"/>
  <c r="G182" i="1" s="1"/>
  <c r="F170" i="1"/>
  <c r="G170" i="1" s="1"/>
  <c r="F158" i="1"/>
  <c r="G158" i="1" s="1"/>
  <c r="F146" i="1"/>
  <c r="G146" i="1" s="1"/>
  <c r="F134" i="1"/>
  <c r="G134" i="1" s="1"/>
  <c r="F193" i="1"/>
  <c r="G193" i="1" s="1"/>
  <c r="F169" i="1"/>
  <c r="G169" i="1" s="1"/>
  <c r="F157" i="1"/>
  <c r="G157" i="1" s="1"/>
  <c r="F145" i="1"/>
  <c r="G145" i="1" s="1"/>
  <c r="F133" i="1"/>
  <c r="G133" i="1" s="1"/>
  <c r="F5" i="1"/>
  <c r="G5" i="1" s="1"/>
  <c r="F17" i="1"/>
  <c r="G17" i="1" s="1"/>
  <c r="F29" i="1"/>
  <c r="G29" i="1" s="1"/>
  <c r="F41" i="1"/>
  <c r="G41" i="1" s="1"/>
  <c r="F53" i="1"/>
  <c r="G53" i="1" s="1"/>
  <c r="F65" i="1"/>
  <c r="G65" i="1" s="1"/>
  <c r="F77" i="1"/>
  <c r="G77" i="1" s="1"/>
  <c r="F89" i="1"/>
  <c r="G89" i="1" s="1"/>
  <c r="F101" i="1"/>
  <c r="G101" i="1" s="1"/>
  <c r="F113" i="1"/>
  <c r="G113" i="1" s="1"/>
  <c r="F125" i="1"/>
  <c r="G125" i="1" s="1"/>
  <c r="F192" i="1"/>
  <c r="G192" i="1" s="1"/>
  <c r="F180" i="1"/>
  <c r="G180" i="1" s="1"/>
  <c r="F168" i="1"/>
  <c r="G168" i="1" s="1"/>
  <c r="F156" i="1"/>
  <c r="G156" i="1" s="1"/>
  <c r="F144" i="1"/>
  <c r="G144" i="1" s="1"/>
  <c r="I4" i="8"/>
  <c r="J5" i="8" s="1"/>
  <c r="I14" i="8"/>
  <c r="I15" i="8" s="1"/>
  <c r="I9" i="8"/>
  <c r="F21" i="3"/>
  <c r="G21" i="3" s="1"/>
  <c r="F14" i="3"/>
  <c r="G14" i="3" s="1"/>
  <c r="F23" i="3"/>
  <c r="G23" i="3" s="1"/>
  <c r="F20" i="3"/>
  <c r="G20" i="3" s="1"/>
  <c r="F134" i="3"/>
  <c r="G134" i="3" s="1"/>
  <c r="F13" i="3"/>
  <c r="G13" i="3" s="1"/>
  <c r="F9" i="3"/>
  <c r="F7" i="3"/>
  <c r="G7" i="3" s="1"/>
  <c r="F6" i="3"/>
  <c r="G6" i="3" s="1"/>
  <c r="F15" i="3"/>
  <c r="G15" i="3" s="1"/>
  <c r="F24" i="3"/>
  <c r="G24" i="3" s="1"/>
  <c r="F31" i="3"/>
  <c r="G31" i="3" s="1"/>
  <c r="F38" i="3"/>
  <c r="F45" i="3"/>
  <c r="F58" i="3"/>
  <c r="F64" i="3"/>
  <c r="G64" i="3" s="1"/>
  <c r="F97" i="3"/>
  <c r="F103" i="3"/>
  <c r="F110" i="3"/>
  <c r="F117" i="3"/>
  <c r="F130" i="3"/>
  <c r="F136" i="3"/>
  <c r="G136" i="3" s="1"/>
  <c r="F169" i="3"/>
  <c r="F177" i="3"/>
  <c r="F183" i="3"/>
  <c r="G183" i="3" s="1"/>
  <c r="F200" i="3"/>
  <c r="G200" i="3" s="1"/>
  <c r="F27" i="3"/>
  <c r="F41" i="3"/>
  <c r="F47" i="3"/>
  <c r="F54" i="3"/>
  <c r="F60" i="3"/>
  <c r="G60" i="3" s="1"/>
  <c r="F80" i="3"/>
  <c r="G80" i="3" s="1"/>
  <c r="F99" i="3"/>
  <c r="F113" i="3"/>
  <c r="F119" i="3"/>
  <c r="F126" i="3"/>
  <c r="F132" i="3"/>
  <c r="G132" i="3" s="1"/>
  <c r="F152" i="3"/>
  <c r="G152" i="3" s="1"/>
  <c r="F171" i="3"/>
  <c r="F179" i="3"/>
  <c r="F187" i="3"/>
  <c r="F203" i="3"/>
  <c r="F28" i="3"/>
  <c r="G28" i="3" s="1"/>
  <c r="F61" i="3"/>
  <c r="F67" i="3"/>
  <c r="F74" i="3"/>
  <c r="F81" i="3"/>
  <c r="F94" i="3"/>
  <c r="F100" i="3"/>
  <c r="G100" i="3" s="1"/>
  <c r="F133" i="3"/>
  <c r="F139" i="3"/>
  <c r="F146" i="3"/>
  <c r="F153" i="3"/>
  <c r="F166" i="3"/>
  <c r="F172" i="3"/>
  <c r="G172" i="3" s="1"/>
  <c r="F188" i="3"/>
  <c r="F195" i="3"/>
  <c r="F44" i="3"/>
  <c r="G44" i="3" s="1"/>
  <c r="F63" i="3"/>
  <c r="F77" i="3"/>
  <c r="F83" i="3"/>
  <c r="F90" i="3"/>
  <c r="F96" i="3"/>
  <c r="G96" i="3" s="1"/>
  <c r="F116" i="3"/>
  <c r="G116" i="3" s="1"/>
  <c r="F135" i="3"/>
  <c r="G135" i="3" s="1"/>
  <c r="F149" i="3"/>
  <c r="F155" i="3"/>
  <c r="F162" i="3"/>
  <c r="F168" i="3"/>
  <c r="F176" i="3"/>
  <c r="G176" i="3" s="1"/>
  <c r="F191" i="3"/>
  <c r="F199" i="3"/>
  <c r="F49" i="3"/>
  <c r="F69" i="3"/>
  <c r="F88" i="3"/>
  <c r="G88" i="3" s="1"/>
  <c r="F98" i="3"/>
  <c r="F118" i="3"/>
  <c r="F127" i="3"/>
  <c r="G127" i="3" s="1"/>
  <c r="F157" i="3"/>
  <c r="F178" i="3"/>
  <c r="F190" i="3"/>
  <c r="F202" i="3"/>
  <c r="F30" i="3"/>
  <c r="F39" i="3"/>
  <c r="F59" i="3"/>
  <c r="F89" i="3"/>
  <c r="F108" i="3"/>
  <c r="G108" i="3" s="1"/>
  <c r="F128" i="3"/>
  <c r="G128" i="3" s="1"/>
  <c r="F138" i="3"/>
  <c r="F147" i="3"/>
  <c r="F167" i="3"/>
  <c r="F34" i="3"/>
  <c r="F43" i="3"/>
  <c r="F73" i="3"/>
  <c r="F93" i="3"/>
  <c r="F112" i="3"/>
  <c r="G112" i="3" s="1"/>
  <c r="F122" i="3"/>
  <c r="F142" i="3"/>
  <c r="F151" i="3"/>
  <c r="G151" i="3" s="1"/>
  <c r="F182" i="3"/>
  <c r="F194" i="3"/>
  <c r="F25" i="3"/>
  <c r="G25" i="3" s="1"/>
  <c r="F37" i="3"/>
  <c r="F56" i="3"/>
  <c r="G56" i="3" s="1"/>
  <c r="F70" i="3"/>
  <c r="F95" i="3"/>
  <c r="F109" i="3"/>
  <c r="F148" i="3"/>
  <c r="G148" i="3" s="1"/>
  <c r="F161" i="3"/>
  <c r="F174" i="3"/>
  <c r="G174" i="3" s="1"/>
  <c r="F32" i="3"/>
  <c r="G32" i="3" s="1"/>
  <c r="F57" i="3"/>
  <c r="F71" i="3"/>
  <c r="F84" i="3"/>
  <c r="G84" i="3" s="1"/>
  <c r="F123" i="3"/>
  <c r="G123" i="3" s="1"/>
  <c r="F150" i="3"/>
  <c r="F175" i="3"/>
  <c r="F192" i="3"/>
  <c r="G192" i="3" s="1"/>
  <c r="F72" i="3"/>
  <c r="G72" i="3" s="1"/>
  <c r="F36" i="3"/>
  <c r="G36" i="3" s="1"/>
  <c r="F50" i="3"/>
  <c r="F75" i="3"/>
  <c r="F102" i="3"/>
  <c r="F129" i="3"/>
  <c r="F198" i="3"/>
  <c r="F26" i="3"/>
  <c r="F66" i="3"/>
  <c r="F104" i="3"/>
  <c r="G104" i="3" s="1"/>
  <c r="F120" i="3"/>
  <c r="G120" i="3" s="1"/>
  <c r="F173" i="3"/>
  <c r="F48" i="3"/>
  <c r="G48" i="3" s="1"/>
  <c r="F51" i="3"/>
  <c r="F29" i="3"/>
  <c r="F52" i="3"/>
  <c r="G52" i="3" s="1"/>
  <c r="F33" i="3"/>
  <c r="F35" i="3"/>
  <c r="F92" i="3"/>
  <c r="G92" i="3" s="1"/>
  <c r="F144" i="3"/>
  <c r="G144" i="3" s="1"/>
  <c r="F163" i="3"/>
  <c r="F181" i="3"/>
  <c r="F55" i="3"/>
  <c r="G55" i="3" s="1"/>
  <c r="F76" i="3"/>
  <c r="G76" i="3" s="1"/>
  <c r="F111" i="3"/>
  <c r="F145" i="3"/>
  <c r="F164" i="3"/>
  <c r="G164" i="3" s="1"/>
  <c r="F184" i="3"/>
  <c r="G184" i="3" s="1"/>
  <c r="F78" i="3"/>
  <c r="F40" i="3"/>
  <c r="G40" i="3" s="1"/>
  <c r="F79" i="3"/>
  <c r="G79" i="3" s="1"/>
  <c r="F131" i="3"/>
  <c r="F42" i="3"/>
  <c r="F62" i="3"/>
  <c r="F46" i="3"/>
  <c r="F85" i="3"/>
  <c r="F137" i="3"/>
  <c r="F154" i="3"/>
  <c r="F193" i="3"/>
  <c r="F68" i="3"/>
  <c r="G68" i="3" s="1"/>
  <c r="F105" i="3"/>
  <c r="F160" i="3"/>
  <c r="G160" i="3" s="1"/>
  <c r="F197" i="3"/>
  <c r="G197" i="3" s="1"/>
  <c r="F106" i="3"/>
  <c r="F140" i="3"/>
  <c r="G140" i="3" s="1"/>
  <c r="F201" i="3"/>
  <c r="G201" i="3" s="1"/>
  <c r="F121" i="3"/>
  <c r="F180" i="3"/>
  <c r="G180" i="3" s="1"/>
  <c r="F101" i="3"/>
  <c r="F143" i="3"/>
  <c r="F185" i="3"/>
  <c r="F53" i="3"/>
  <c r="F186" i="3"/>
  <c r="G186" i="3" s="1"/>
  <c r="F65" i="3"/>
  <c r="F107" i="3"/>
  <c r="F189" i="3"/>
  <c r="G189" i="3" s="1"/>
  <c r="F114" i="3"/>
  <c r="F196" i="3"/>
  <c r="G196" i="3" s="1"/>
  <c r="F115" i="3"/>
  <c r="G115" i="3" s="1"/>
  <c r="F156" i="3"/>
  <c r="G156" i="3" s="1"/>
  <c r="F158" i="3"/>
  <c r="F82" i="3"/>
  <c r="F124" i="3"/>
  <c r="G124" i="3" s="1"/>
  <c r="F159" i="3"/>
  <c r="F86" i="3"/>
  <c r="F125" i="3"/>
  <c r="F165" i="3"/>
  <c r="F87" i="3"/>
  <c r="F170" i="3"/>
  <c r="F91" i="3"/>
  <c r="F141" i="3"/>
  <c r="F19" i="3"/>
  <c r="G19" i="3" s="1"/>
  <c r="F18" i="3"/>
  <c r="F11" i="3"/>
  <c r="F8" i="3"/>
  <c r="G8" i="3" s="1"/>
  <c r="F17" i="3"/>
  <c r="G17" i="3" s="1"/>
  <c r="F16" i="3"/>
  <c r="G16" i="3" s="1"/>
  <c r="F4" i="3"/>
  <c r="F3" i="3"/>
  <c r="G3" i="3" s="1"/>
  <c r="F12" i="3"/>
  <c r="G12" i="3" s="1"/>
  <c r="F22" i="3"/>
  <c r="F10" i="3"/>
  <c r="F5" i="3"/>
  <c r="G5" i="3" s="1"/>
  <c r="G6" i="5"/>
  <c r="G10" i="5"/>
  <c r="G18" i="5"/>
  <c r="G26" i="5"/>
  <c r="G30" i="5"/>
  <c r="G38" i="5"/>
  <c r="G46" i="5"/>
  <c r="G50" i="5"/>
  <c r="G54" i="5"/>
  <c r="G62" i="5"/>
  <c r="G66" i="5"/>
  <c r="G70" i="5"/>
  <c r="G74" i="5"/>
  <c r="G82" i="5"/>
  <c r="G86" i="5"/>
  <c r="G90" i="5"/>
  <c r="G94" i="5"/>
  <c r="G98" i="5"/>
  <c r="G102" i="5"/>
  <c r="G106" i="5"/>
  <c r="G110" i="5"/>
  <c r="G114" i="5"/>
  <c r="G118" i="5"/>
  <c r="G122" i="5"/>
  <c r="G130" i="5"/>
  <c r="E6" i="14" l="1"/>
  <c r="H6" i="14" s="1"/>
  <c r="F6" i="14" s="1"/>
  <c r="G6" i="14" s="1"/>
  <c r="H4" i="14"/>
  <c r="F4" i="14" s="1"/>
  <c r="G4" i="14" s="1"/>
  <c r="O7" i="12"/>
  <c r="M6" i="12"/>
  <c r="N7" i="12"/>
  <c r="E6" i="12"/>
  <c r="F104" i="6"/>
  <c r="G104" i="6" s="1"/>
  <c r="F133" i="6"/>
  <c r="G133" i="6" s="1"/>
  <c r="F161" i="6"/>
  <c r="G161" i="6" s="1"/>
  <c r="F146" i="6"/>
  <c r="G146" i="6" s="1"/>
  <c r="F49" i="6"/>
  <c r="G49" i="6" s="1"/>
  <c r="F117" i="6"/>
  <c r="G117" i="6" s="1"/>
  <c r="F99" i="6"/>
  <c r="G99" i="6" s="1"/>
  <c r="F118" i="6"/>
  <c r="G118" i="6" s="1"/>
  <c r="F126" i="6"/>
  <c r="G126" i="6" s="1"/>
  <c r="F154" i="6"/>
  <c r="G154" i="6" s="1"/>
  <c r="F150" i="6"/>
  <c r="G150" i="6" s="1"/>
  <c r="F167" i="6"/>
  <c r="G167" i="6" s="1"/>
  <c r="F174" i="6"/>
  <c r="G174" i="6" s="1"/>
  <c r="F34" i="6"/>
  <c r="G34" i="6" s="1"/>
  <c r="F94" i="6"/>
  <c r="G94" i="6" s="1"/>
  <c r="F37" i="6"/>
  <c r="G37" i="6" s="1"/>
  <c r="F32" i="6"/>
  <c r="G32" i="6" s="1"/>
  <c r="F176" i="6"/>
  <c r="G176" i="6" s="1"/>
  <c r="F186" i="6"/>
  <c r="G186" i="6" s="1"/>
  <c r="F68" i="6"/>
  <c r="G68" i="6" s="1"/>
  <c r="F173" i="6"/>
  <c r="G173" i="6" s="1"/>
  <c r="F199" i="6"/>
  <c r="G199" i="6" s="1"/>
  <c r="F127" i="6"/>
  <c r="G127" i="6" s="1"/>
  <c r="F151" i="6"/>
  <c r="G151" i="6" s="1"/>
  <c r="F165" i="6"/>
  <c r="G165" i="6" s="1"/>
  <c r="F181" i="6"/>
  <c r="G181" i="6" s="1"/>
  <c r="F4" i="6"/>
  <c r="G4" i="6" s="1"/>
  <c r="F189" i="6"/>
  <c r="G189" i="6" s="1"/>
  <c r="F25" i="6"/>
  <c r="G25" i="6" s="1"/>
  <c r="F148" i="6"/>
  <c r="G148" i="6" s="1"/>
  <c r="F106" i="6"/>
  <c r="G106" i="6" s="1"/>
  <c r="F187" i="6"/>
  <c r="G187" i="6" s="1"/>
  <c r="F24" i="6"/>
  <c r="G24" i="6" s="1"/>
  <c r="F16" i="6"/>
  <c r="G16" i="6" s="1"/>
  <c r="F107" i="6"/>
  <c r="G107" i="6" s="1"/>
  <c r="F169" i="6"/>
  <c r="G169" i="6" s="1"/>
  <c r="F163" i="6"/>
  <c r="G163" i="6" s="1"/>
  <c r="F196" i="6"/>
  <c r="G196" i="6" s="1"/>
  <c r="F75" i="6"/>
  <c r="G75" i="6" s="1"/>
  <c r="F90" i="6"/>
  <c r="G90" i="6" s="1"/>
  <c r="F144" i="6"/>
  <c r="G144" i="6" s="1"/>
  <c r="F45" i="6"/>
  <c r="G45" i="6" s="1"/>
  <c r="F111" i="6"/>
  <c r="G111" i="6" s="1"/>
  <c r="F96" i="6"/>
  <c r="G96" i="6" s="1"/>
  <c r="F53" i="6"/>
  <c r="G53" i="6" s="1"/>
  <c r="F168" i="6"/>
  <c r="G168" i="6" s="1"/>
  <c r="F81" i="6"/>
  <c r="G81" i="6" s="1"/>
  <c r="F171" i="6"/>
  <c r="G171" i="6" s="1"/>
  <c r="F61" i="6"/>
  <c r="G61" i="6" s="1"/>
  <c r="F54" i="6"/>
  <c r="G54" i="6" s="1"/>
  <c r="F192" i="6"/>
  <c r="G192" i="6" s="1"/>
  <c r="F149" i="6"/>
  <c r="G149" i="6" s="1"/>
  <c r="F35" i="6"/>
  <c r="G35" i="6" s="1"/>
  <c r="F139" i="6"/>
  <c r="G139" i="6" s="1"/>
  <c r="F130" i="6"/>
  <c r="G130" i="6" s="1"/>
  <c r="F188" i="6"/>
  <c r="G188" i="6" s="1"/>
  <c r="F137" i="6"/>
  <c r="G137" i="6" s="1"/>
  <c r="F76" i="6"/>
  <c r="G76" i="6" s="1"/>
  <c r="F26" i="6"/>
  <c r="G26" i="6" s="1"/>
  <c r="F131" i="6"/>
  <c r="G131" i="6" s="1"/>
  <c r="F63" i="6"/>
  <c r="G63" i="6" s="1"/>
  <c r="F110" i="6"/>
  <c r="G110" i="6" s="1"/>
  <c r="F183" i="6"/>
  <c r="G183" i="6" s="1"/>
  <c r="F12" i="6"/>
  <c r="G12" i="6" s="1"/>
  <c r="F198" i="6"/>
  <c r="G198" i="6" s="1"/>
  <c r="F55" i="6"/>
  <c r="G55" i="6" s="1"/>
  <c r="F18" i="6"/>
  <c r="G18" i="6" s="1"/>
  <c r="F203" i="6"/>
  <c r="G203" i="6" s="1"/>
  <c r="F100" i="6"/>
  <c r="G100" i="6" s="1"/>
  <c r="F182" i="6"/>
  <c r="G182" i="6" s="1"/>
  <c r="F59" i="6"/>
  <c r="G59" i="6" s="1"/>
  <c r="F48" i="6"/>
  <c r="G48" i="6" s="1"/>
  <c r="F74" i="6"/>
  <c r="G74" i="6" s="1"/>
  <c r="F67" i="6"/>
  <c r="G67" i="6" s="1"/>
  <c r="F132" i="6"/>
  <c r="G132" i="6" s="1"/>
  <c r="F109" i="6"/>
  <c r="G109" i="6" s="1"/>
  <c r="F10" i="6"/>
  <c r="G10" i="6" s="1"/>
  <c r="F83" i="6"/>
  <c r="G83" i="6" s="1"/>
  <c r="F84" i="6"/>
  <c r="G84" i="6" s="1"/>
  <c r="F98" i="6"/>
  <c r="G98" i="6" s="1"/>
  <c r="F29" i="6"/>
  <c r="G29" i="6" s="1"/>
  <c r="F202" i="6"/>
  <c r="G202" i="6" s="1"/>
  <c r="F91" i="6"/>
  <c r="G91" i="6" s="1"/>
  <c r="F5" i="6"/>
  <c r="G5" i="6" s="1"/>
  <c r="E8" i="8"/>
  <c r="F7" i="8"/>
  <c r="G7" i="8" s="1"/>
  <c r="F190" i="6"/>
  <c r="G190" i="6" s="1"/>
  <c r="F8" i="6"/>
  <c r="G8" i="6" s="1"/>
  <c r="F157" i="6"/>
  <c r="G157" i="6" s="1"/>
  <c r="F158" i="6"/>
  <c r="G158" i="6" s="1"/>
  <c r="F135" i="6"/>
  <c r="G135" i="6" s="1"/>
  <c r="F140" i="6"/>
  <c r="G140" i="6" s="1"/>
  <c r="F113" i="6"/>
  <c r="G113" i="6" s="1"/>
  <c r="F62" i="6"/>
  <c r="G62" i="6" s="1"/>
  <c r="F65" i="6"/>
  <c r="G65" i="6" s="1"/>
  <c r="F88" i="6"/>
  <c r="G88" i="6" s="1"/>
  <c r="F155" i="6"/>
  <c r="G155" i="6" s="1"/>
  <c r="F80" i="6"/>
  <c r="G80" i="6" s="1"/>
  <c r="F9" i="6"/>
  <c r="G9" i="6" s="1"/>
  <c r="F22" i="6"/>
  <c r="G22" i="6" s="1"/>
  <c r="F11" i="6"/>
  <c r="G11" i="6" s="1"/>
  <c r="F136" i="6"/>
  <c r="G136" i="6" s="1"/>
  <c r="F51" i="6"/>
  <c r="G51" i="6" s="1"/>
  <c r="F175" i="6"/>
  <c r="G175" i="6" s="1"/>
  <c r="F103" i="6"/>
  <c r="G103" i="6" s="1"/>
  <c r="F153" i="6"/>
  <c r="G153" i="6" s="1"/>
  <c r="F179" i="6"/>
  <c r="G179" i="6" s="1"/>
  <c r="F73" i="6"/>
  <c r="G73" i="6" s="1"/>
  <c r="F57" i="6"/>
  <c r="G57" i="6" s="1"/>
  <c r="F58" i="6"/>
  <c r="G58" i="6" s="1"/>
  <c r="F47" i="6"/>
  <c r="G47" i="6" s="1"/>
  <c r="F172" i="6"/>
  <c r="G172" i="6" s="1"/>
  <c r="F114" i="6"/>
  <c r="G114" i="6" s="1"/>
  <c r="F15" i="6"/>
  <c r="G15" i="6" s="1"/>
  <c r="F19" i="6"/>
  <c r="G19" i="6" s="1"/>
  <c r="F105" i="6"/>
  <c r="G105" i="6" s="1"/>
  <c r="F142" i="6"/>
  <c r="G142" i="6" s="1"/>
  <c r="F191" i="6"/>
  <c r="G191" i="6" s="1"/>
  <c r="F20" i="6"/>
  <c r="G20" i="6" s="1"/>
  <c r="F116" i="6"/>
  <c r="G116" i="6" s="1"/>
  <c r="F193" i="6"/>
  <c r="G193" i="6" s="1"/>
  <c r="F152" i="6"/>
  <c r="G152" i="6" s="1"/>
  <c r="F46" i="6"/>
  <c r="G46" i="6" s="1"/>
  <c r="F123" i="6"/>
  <c r="G123" i="6" s="1"/>
  <c r="F71" i="6"/>
  <c r="G71" i="6" s="1"/>
  <c r="F52" i="6"/>
  <c r="G52" i="6" s="1"/>
  <c r="F36" i="6"/>
  <c r="G36" i="6" s="1"/>
  <c r="F128" i="6"/>
  <c r="G128" i="6" s="1"/>
  <c r="F14" i="6"/>
  <c r="G14" i="6" s="1"/>
  <c r="F27" i="6"/>
  <c r="G27" i="6" s="1"/>
  <c r="F6" i="6"/>
  <c r="G6" i="6" s="1"/>
  <c r="F77" i="6"/>
  <c r="G77" i="6" s="1"/>
  <c r="F79" i="6"/>
  <c r="G79" i="6" s="1"/>
  <c r="F129" i="6"/>
  <c r="G129" i="6" s="1"/>
  <c r="F166" i="6"/>
  <c r="G166" i="6" s="1"/>
  <c r="F108" i="6"/>
  <c r="G108" i="6" s="1"/>
  <c r="F44" i="6"/>
  <c r="G44" i="6" s="1"/>
  <c r="F200" i="6"/>
  <c r="G200" i="6" s="1"/>
  <c r="F21" i="6"/>
  <c r="G21" i="6" s="1"/>
  <c r="F122" i="6"/>
  <c r="G122" i="6" s="1"/>
  <c r="F70" i="6"/>
  <c r="G70" i="6" s="1"/>
  <c r="F147" i="6"/>
  <c r="G147" i="6" s="1"/>
  <c r="F95" i="6"/>
  <c r="G95" i="6" s="1"/>
  <c r="F112" i="6"/>
  <c r="G112" i="6" s="1"/>
  <c r="F60" i="6"/>
  <c r="G60" i="6" s="1"/>
  <c r="F40" i="6"/>
  <c r="G40" i="6" s="1"/>
  <c r="F38" i="6"/>
  <c r="G38" i="6" s="1"/>
  <c r="F87" i="6"/>
  <c r="G87" i="6" s="1"/>
  <c r="F102" i="6"/>
  <c r="G102" i="6" s="1"/>
  <c r="F89" i="6"/>
  <c r="G89" i="6" s="1"/>
  <c r="F141" i="6"/>
  <c r="G141" i="6" s="1"/>
  <c r="F178" i="6"/>
  <c r="G178" i="6" s="1"/>
  <c r="F120" i="6"/>
  <c r="G120" i="6" s="1"/>
  <c r="F56" i="6"/>
  <c r="G56" i="6" s="1"/>
  <c r="F28" i="6"/>
  <c r="G28" i="6" s="1"/>
  <c r="F33" i="6"/>
  <c r="G33" i="6" s="1"/>
  <c r="F134" i="6"/>
  <c r="G134" i="6" s="1"/>
  <c r="F82" i="6"/>
  <c r="G82" i="6" s="1"/>
  <c r="F159" i="6"/>
  <c r="G159" i="6" s="1"/>
  <c r="F125" i="6"/>
  <c r="G125" i="6" s="1"/>
  <c r="F124" i="6"/>
  <c r="G124" i="6" s="1"/>
  <c r="F72" i="6"/>
  <c r="G72" i="6" s="1"/>
  <c r="F64" i="6"/>
  <c r="G64" i="6" s="1"/>
  <c r="F50" i="6"/>
  <c r="G50" i="6" s="1"/>
  <c r="F164" i="6"/>
  <c r="G164" i="6" s="1"/>
  <c r="F7" i="6"/>
  <c r="G7" i="6" s="1"/>
  <c r="F30" i="6"/>
  <c r="G30" i="6" s="1"/>
  <c r="F78" i="6"/>
  <c r="G78" i="6" s="1"/>
  <c r="F31" i="6"/>
  <c r="G31" i="6" s="1"/>
  <c r="F177" i="6"/>
  <c r="G177" i="6" s="1"/>
  <c r="F119" i="6"/>
  <c r="G119" i="6" s="1"/>
  <c r="F156" i="6"/>
  <c r="G156" i="6" s="1"/>
  <c r="F92" i="6"/>
  <c r="G92" i="6" s="1"/>
  <c r="F121" i="6"/>
  <c r="G121" i="6" s="1"/>
  <c r="F69" i="6"/>
  <c r="G69" i="6" s="1"/>
  <c r="F170" i="6"/>
  <c r="G170" i="6" s="1"/>
  <c r="F197" i="6"/>
  <c r="G197" i="6" s="1"/>
  <c r="F195" i="6"/>
  <c r="G195" i="6" s="1"/>
  <c r="F85" i="6"/>
  <c r="G85" i="6" s="1"/>
  <c r="F160" i="6"/>
  <c r="G160" i="6" s="1"/>
  <c r="F3" i="6"/>
  <c r="G3" i="6" s="1"/>
  <c r="F138" i="6"/>
  <c r="G138" i="6" s="1"/>
  <c r="F86" i="6"/>
  <c r="G86" i="6" s="1"/>
  <c r="F101" i="6"/>
  <c r="G101" i="6" s="1"/>
  <c r="F17" i="6"/>
  <c r="G17" i="6" s="1"/>
  <c r="F41" i="6"/>
  <c r="G41" i="6" s="1"/>
  <c r="F42" i="6"/>
  <c r="G42" i="6" s="1"/>
  <c r="F201" i="6"/>
  <c r="G201" i="6" s="1"/>
  <c r="F143" i="6"/>
  <c r="G143" i="6" s="1"/>
  <c r="F180" i="6"/>
  <c r="G180" i="6" s="1"/>
  <c r="F13" i="6"/>
  <c r="G13" i="6" s="1"/>
  <c r="F145" i="6"/>
  <c r="G145" i="6" s="1"/>
  <c r="F93" i="6"/>
  <c r="G93" i="6" s="1"/>
  <c r="F194" i="6"/>
  <c r="G194" i="6" s="1"/>
  <c r="F97" i="6"/>
  <c r="G97" i="6" s="1"/>
  <c r="F23" i="6"/>
  <c r="G23" i="6" s="1"/>
  <c r="F39" i="6"/>
  <c r="G39" i="6" s="1"/>
  <c r="F184" i="6"/>
  <c r="G184" i="6" s="1"/>
  <c r="F185" i="6"/>
  <c r="G185" i="6" s="1"/>
  <c r="F162" i="6"/>
  <c r="G162" i="6" s="1"/>
  <c r="F115" i="6"/>
  <c r="G115" i="6" s="1"/>
  <c r="F43" i="6"/>
  <c r="G43" i="6" s="1"/>
  <c r="G199" i="3"/>
  <c r="G63" i="3"/>
  <c r="G51" i="3"/>
  <c r="G147" i="3"/>
  <c r="G159" i="3"/>
  <c r="G168" i="3"/>
  <c r="G103" i="3"/>
  <c r="G43" i="3"/>
  <c r="G187" i="3"/>
  <c r="G91" i="3"/>
  <c r="G9" i="3"/>
  <c r="G171" i="3"/>
  <c r="G27" i="3"/>
  <c r="G39" i="3"/>
  <c r="G111" i="3"/>
  <c r="G195" i="3"/>
  <c r="G87" i="3"/>
  <c r="G67" i="3"/>
  <c r="G188" i="3"/>
  <c r="G99" i="3"/>
  <c r="G11" i="3"/>
  <c r="G75" i="3"/>
  <c r="G139" i="3"/>
  <c r="G175" i="3"/>
  <c r="G163" i="3"/>
  <c r="G158" i="3"/>
  <c r="G53" i="3"/>
  <c r="G181" i="3"/>
  <c r="G102" i="3"/>
  <c r="G70" i="3"/>
  <c r="G89" i="3"/>
  <c r="G190" i="3"/>
  <c r="G155" i="3"/>
  <c r="G133" i="3"/>
  <c r="G145" i="3"/>
  <c r="G59" i="3"/>
  <c r="G178" i="3"/>
  <c r="G149" i="3"/>
  <c r="G58" i="3"/>
  <c r="G50" i="3"/>
  <c r="G150" i="3"/>
  <c r="G37" i="3"/>
  <c r="G194" i="3"/>
  <c r="G157" i="3"/>
  <c r="G94" i="3"/>
  <c r="G45" i="3"/>
  <c r="G193" i="3"/>
  <c r="G131" i="3"/>
  <c r="G182" i="3"/>
  <c r="G30" i="3"/>
  <c r="G81" i="3"/>
  <c r="G126" i="3"/>
  <c r="G38" i="3"/>
  <c r="G170" i="3"/>
  <c r="G154" i="3"/>
  <c r="G35" i="3"/>
  <c r="G118" i="3"/>
  <c r="G74" i="3"/>
  <c r="G119" i="3"/>
  <c r="G177" i="3"/>
  <c r="G107" i="3"/>
  <c r="G185" i="3"/>
  <c r="G137" i="3"/>
  <c r="G33" i="3"/>
  <c r="G71" i="3"/>
  <c r="G142" i="3"/>
  <c r="G98" i="3"/>
  <c r="G90" i="3"/>
  <c r="G113" i="3"/>
  <c r="G169" i="3"/>
  <c r="G65" i="3"/>
  <c r="G143" i="3"/>
  <c r="G105" i="3"/>
  <c r="G85" i="3"/>
  <c r="G78" i="3"/>
  <c r="G57" i="3"/>
  <c r="G122" i="3"/>
  <c r="G83" i="3"/>
  <c r="G61" i="3"/>
  <c r="G141" i="3"/>
  <c r="G165" i="3"/>
  <c r="G101" i="3"/>
  <c r="G46" i="3"/>
  <c r="G29" i="3"/>
  <c r="G173" i="3"/>
  <c r="G167" i="3"/>
  <c r="G69" i="3"/>
  <c r="G77" i="3"/>
  <c r="G130" i="3"/>
  <c r="G125" i="3"/>
  <c r="G121" i="3"/>
  <c r="G62" i="3"/>
  <c r="G161" i="3"/>
  <c r="G93" i="3"/>
  <c r="G49" i="3"/>
  <c r="G191" i="3"/>
  <c r="G166" i="3"/>
  <c r="G117" i="3"/>
  <c r="G86" i="3"/>
  <c r="G42" i="3"/>
  <c r="G73" i="3"/>
  <c r="G138" i="3"/>
  <c r="G153" i="3"/>
  <c r="G203" i="3"/>
  <c r="G54" i="3"/>
  <c r="G110" i="3"/>
  <c r="G82" i="3"/>
  <c r="G114" i="3"/>
  <c r="G66" i="3"/>
  <c r="G198" i="3"/>
  <c r="G109" i="3"/>
  <c r="G146" i="3"/>
  <c r="G47" i="3"/>
  <c r="G106" i="3"/>
  <c r="G26" i="3"/>
  <c r="G129" i="3"/>
  <c r="G95" i="3"/>
  <c r="G34" i="3"/>
  <c r="G202" i="3"/>
  <c r="G162" i="3"/>
  <c r="G179" i="3"/>
  <c r="G41" i="3"/>
  <c r="G97" i="3"/>
  <c r="G18" i="3"/>
  <c r="G10" i="3"/>
  <c r="G4" i="3"/>
  <c r="G22" i="3"/>
  <c r="G4" i="8"/>
  <c r="G6" i="8"/>
  <c r="G5" i="8"/>
  <c r="G66" i="6"/>
  <c r="E7" i="14" l="1"/>
  <c r="H7" i="14" s="1"/>
  <c r="F7" i="14" s="1"/>
  <c r="G7" i="14" s="1"/>
  <c r="M10" i="12" a="1"/>
  <c r="M12" i="12" s="1"/>
  <c r="E7" i="12"/>
  <c r="E9" i="8"/>
  <c r="F8" i="8"/>
  <c r="G8" i="8" s="1"/>
  <c r="E8" i="14" l="1"/>
  <c r="E9" i="14" s="1"/>
  <c r="H9" i="14" s="1"/>
  <c r="F9" i="14" s="1"/>
  <c r="G9" i="14" s="1"/>
  <c r="H8" i="14"/>
  <c r="F8" i="14" s="1"/>
  <c r="G8" i="14" s="1"/>
  <c r="M11" i="12"/>
  <c r="M10" i="12"/>
  <c r="O11" i="12"/>
  <c r="O12" i="12"/>
  <c r="N11" i="12"/>
  <c r="O10" i="12"/>
  <c r="N10" i="12"/>
  <c r="N12" i="12"/>
  <c r="E8" i="12"/>
  <c r="E10" i="8"/>
  <c r="F9" i="8"/>
  <c r="G9" i="8" s="1"/>
  <c r="M14" i="12" l="1" a="1"/>
  <c r="M14" i="12" s="1"/>
  <c r="E10" i="14"/>
  <c r="E9" i="12"/>
  <c r="E11" i="8"/>
  <c r="F10" i="8"/>
  <c r="G10" i="8" s="1"/>
  <c r="M16" i="12" l="1"/>
  <c r="J23" i="12" s="1"/>
  <c r="M15" i="12"/>
  <c r="J22" i="12" s="1"/>
  <c r="J21" i="12"/>
  <c r="H10" i="14"/>
  <c r="F10" i="14" s="1"/>
  <c r="G10" i="14" s="1"/>
  <c r="E11" i="14"/>
  <c r="H11" i="14" s="1"/>
  <c r="F11" i="14" s="1"/>
  <c r="G11" i="14" s="1"/>
  <c r="E10" i="12"/>
  <c r="F10" i="12" s="1"/>
  <c r="E12" i="8"/>
  <c r="F11" i="8"/>
  <c r="G11" i="8" s="1"/>
  <c r="F8" i="12" l="1"/>
  <c r="G8" i="12" s="1"/>
  <c r="J17" i="12"/>
  <c r="F6" i="12"/>
  <c r="G6" i="12" s="1"/>
  <c r="F3" i="12"/>
  <c r="G3" i="12" s="1"/>
  <c r="F7" i="12"/>
  <c r="G7" i="12" s="1"/>
  <c r="F5" i="12"/>
  <c r="G5" i="12" s="1"/>
  <c r="F4" i="12"/>
  <c r="G4" i="12" s="1"/>
  <c r="F9" i="12"/>
  <c r="G9" i="12" s="1"/>
  <c r="E12" i="14"/>
  <c r="H12" i="14" s="1"/>
  <c r="F12" i="14" s="1"/>
  <c r="G12" i="14" s="1"/>
  <c r="G10" i="12"/>
  <c r="E11" i="12"/>
  <c r="F11" i="12" s="1"/>
  <c r="F12" i="8"/>
  <c r="G12" i="8" s="1"/>
  <c r="E13" i="8"/>
  <c r="E13" i="14" l="1"/>
  <c r="G11" i="12"/>
  <c r="E12" i="12"/>
  <c r="F12" i="12" s="1"/>
  <c r="F13" i="8"/>
  <c r="G13" i="8" s="1"/>
  <c r="E14" i="8"/>
  <c r="H13" i="14" l="1"/>
  <c r="F13" i="14" s="1"/>
  <c r="G13" i="14" s="1"/>
  <c r="E14" i="14"/>
  <c r="H14" i="14" s="1"/>
  <c r="F14" i="14" s="1"/>
  <c r="G14" i="14" s="1"/>
  <c r="G12" i="12"/>
  <c r="E13" i="12"/>
  <c r="F13" i="12" s="1"/>
  <c r="F14" i="8"/>
  <c r="G14" i="8" s="1"/>
  <c r="E15" i="8"/>
  <c r="E15" i="14" l="1"/>
  <c r="G13" i="12"/>
  <c r="E14" i="12"/>
  <c r="F14" i="12" s="1"/>
  <c r="F15" i="8"/>
  <c r="G15" i="8" s="1"/>
  <c r="E16" i="8"/>
  <c r="H15" i="14" l="1"/>
  <c r="F15" i="14" s="1"/>
  <c r="G15" i="14" s="1"/>
  <c r="E16" i="14"/>
  <c r="G14" i="12"/>
  <c r="E15" i="12"/>
  <c r="F15" i="12" s="1"/>
  <c r="E17" i="8"/>
  <c r="F16" i="8"/>
  <c r="G16" i="8" s="1"/>
  <c r="H16" i="14" l="1"/>
  <c r="F16" i="14" s="1"/>
  <c r="G16" i="14" s="1"/>
  <c r="E17" i="14"/>
  <c r="H17" i="14" s="1"/>
  <c r="F17" i="14" s="1"/>
  <c r="G17" i="14" s="1"/>
  <c r="G15" i="12"/>
  <c r="E16" i="12"/>
  <c r="F16" i="12" s="1"/>
  <c r="E18" i="8"/>
  <c r="F17" i="8"/>
  <c r="G17" i="8" s="1"/>
  <c r="E18" i="14" l="1"/>
  <c r="H18" i="14" s="1"/>
  <c r="F18" i="14" s="1"/>
  <c r="G18" i="14" s="1"/>
  <c r="G16" i="12"/>
  <c r="E17" i="12"/>
  <c r="F17" i="12" s="1"/>
  <c r="E19" i="8"/>
  <c r="F18" i="8"/>
  <c r="G18" i="8" s="1"/>
  <c r="E19" i="14" l="1"/>
  <c r="H19" i="14" s="1"/>
  <c r="F19" i="14" s="1"/>
  <c r="G19" i="14" s="1"/>
  <c r="G17" i="12"/>
  <c r="E18" i="12"/>
  <c r="F18" i="12" s="1"/>
  <c r="E20" i="8"/>
  <c r="F19" i="8"/>
  <c r="G19" i="8" s="1"/>
  <c r="E20" i="14" l="1"/>
  <c r="G18" i="12"/>
  <c r="E19" i="12"/>
  <c r="F19" i="12" s="1"/>
  <c r="E21" i="8"/>
  <c r="F20" i="8"/>
  <c r="G20" i="8" s="1"/>
  <c r="H20" i="14" l="1"/>
  <c r="F20" i="14" s="1"/>
  <c r="G20" i="14" s="1"/>
  <c r="E21" i="14"/>
  <c r="G19" i="12"/>
  <c r="E20" i="12"/>
  <c r="F20" i="12" s="1"/>
  <c r="E22" i="8"/>
  <c r="F21" i="8"/>
  <c r="G21" i="8" s="1"/>
  <c r="H21" i="14" l="1"/>
  <c r="F21" i="14" s="1"/>
  <c r="G21" i="14" s="1"/>
  <c r="E22" i="14"/>
  <c r="G20" i="12"/>
  <c r="E21" i="12"/>
  <c r="F21" i="12" s="1"/>
  <c r="E23" i="8"/>
  <c r="F22" i="8"/>
  <c r="G22" i="8" s="1"/>
  <c r="H22" i="14" l="1"/>
  <c r="F22" i="14" s="1"/>
  <c r="G22" i="14" s="1"/>
  <c r="E23" i="14"/>
  <c r="H23" i="14" s="1"/>
  <c r="F23" i="14" s="1"/>
  <c r="G23" i="14" s="1"/>
  <c r="G21" i="12"/>
  <c r="E22" i="12"/>
  <c r="F22" i="12" s="1"/>
  <c r="E24" i="8"/>
  <c r="F23" i="8"/>
  <c r="G23" i="8" s="1"/>
  <c r="E24" i="14" l="1"/>
  <c r="H24" i="14" s="1"/>
  <c r="F24" i="14" s="1"/>
  <c r="G24" i="14" s="1"/>
  <c r="G22" i="12"/>
  <c r="E23" i="12"/>
  <c r="F23" i="12" s="1"/>
  <c r="F24" i="8"/>
  <c r="G24" i="8" s="1"/>
  <c r="E25" i="8"/>
  <c r="E25" i="14" l="1"/>
  <c r="G23" i="12"/>
  <c r="E24" i="12"/>
  <c r="F24" i="12" s="1"/>
  <c r="F25" i="8"/>
  <c r="G25" i="8" s="1"/>
  <c r="E26" i="8"/>
  <c r="H25" i="14" l="1"/>
  <c r="F25" i="14" s="1"/>
  <c r="G25" i="14" s="1"/>
  <c r="E26" i="14"/>
  <c r="H26" i="14" s="1"/>
  <c r="F26" i="14" s="1"/>
  <c r="G26" i="14" s="1"/>
  <c r="G24" i="12"/>
  <c r="E25" i="12"/>
  <c r="F25" i="12" s="1"/>
  <c r="F26" i="8"/>
  <c r="G26" i="8" s="1"/>
  <c r="E27" i="8"/>
  <c r="E27" i="14" l="1"/>
  <c r="G25" i="12"/>
  <c r="E26" i="12"/>
  <c r="F26" i="12" s="1"/>
  <c r="F27" i="8"/>
  <c r="G27" i="8" s="1"/>
  <c r="E28" i="8"/>
  <c r="H27" i="14" l="1"/>
  <c r="F27" i="14" s="1"/>
  <c r="G27" i="14" s="1"/>
  <c r="E28" i="14"/>
  <c r="G26" i="12"/>
  <c r="E27" i="12"/>
  <c r="F27" i="12" s="1"/>
  <c r="F28" i="8"/>
  <c r="G28" i="8" s="1"/>
  <c r="E29" i="8"/>
  <c r="H28" i="14" l="1"/>
  <c r="F28" i="14" s="1"/>
  <c r="G28" i="14" s="1"/>
  <c r="E29" i="14"/>
  <c r="H29" i="14" s="1"/>
  <c r="F29" i="14" s="1"/>
  <c r="G29" i="14" s="1"/>
  <c r="G27" i="12"/>
  <c r="E28" i="12"/>
  <c r="F28" i="12" s="1"/>
  <c r="E30" i="8"/>
  <c r="F29" i="8"/>
  <c r="G29" i="8" s="1"/>
  <c r="E30" i="14" l="1"/>
  <c r="H30" i="14" s="1"/>
  <c r="F30" i="14" s="1"/>
  <c r="G30" i="14" s="1"/>
  <c r="G28" i="12"/>
  <c r="E29" i="12"/>
  <c r="F29" i="12" s="1"/>
  <c r="E31" i="8"/>
  <c r="F30" i="8"/>
  <c r="G30" i="8" s="1"/>
  <c r="E31" i="14" l="1"/>
  <c r="H31" i="14" s="1"/>
  <c r="F31" i="14" s="1"/>
  <c r="G31" i="14" s="1"/>
  <c r="G29" i="12"/>
  <c r="E30" i="12"/>
  <c r="F30" i="12" s="1"/>
  <c r="E32" i="8"/>
  <c r="F31" i="8"/>
  <c r="G31" i="8" s="1"/>
  <c r="E32" i="14" l="1"/>
  <c r="G30" i="12"/>
  <c r="E31" i="12"/>
  <c r="F31" i="12" s="1"/>
  <c r="E33" i="8"/>
  <c r="F32" i="8"/>
  <c r="G32" i="8" s="1"/>
  <c r="H32" i="14" l="1"/>
  <c r="F32" i="14" s="1"/>
  <c r="G32" i="14" s="1"/>
  <c r="E33" i="14"/>
  <c r="H33" i="14" s="1"/>
  <c r="F33" i="14" s="1"/>
  <c r="G33" i="14" s="1"/>
  <c r="G31" i="12"/>
  <c r="E32" i="12"/>
  <c r="F32" i="12" s="1"/>
  <c r="E34" i="8"/>
  <c r="F33" i="8"/>
  <c r="G33" i="8" s="1"/>
  <c r="E34" i="14" l="1"/>
  <c r="G32" i="12"/>
  <c r="E33" i="12"/>
  <c r="F33" i="12" s="1"/>
  <c r="E35" i="8"/>
  <c r="F34" i="8"/>
  <c r="G34" i="8" s="1"/>
  <c r="H34" i="14" l="1"/>
  <c r="F34" i="14" s="1"/>
  <c r="G34" i="14" s="1"/>
  <c r="E35" i="14"/>
  <c r="H35" i="14" s="1"/>
  <c r="F35" i="14" s="1"/>
  <c r="G35" i="14" s="1"/>
  <c r="G33" i="12"/>
  <c r="E34" i="12"/>
  <c r="F34" i="12" s="1"/>
  <c r="E36" i="8"/>
  <c r="F35" i="8"/>
  <c r="G35" i="8" s="1"/>
  <c r="E36" i="14" l="1"/>
  <c r="H36" i="14" s="1"/>
  <c r="F36" i="14" s="1"/>
  <c r="G36" i="14" s="1"/>
  <c r="G34" i="12"/>
  <c r="E35" i="12"/>
  <c r="F35" i="12" s="1"/>
  <c r="F36" i="8"/>
  <c r="G36" i="8" s="1"/>
  <c r="E37" i="8"/>
  <c r="E37" i="14" l="1"/>
  <c r="H37" i="14" s="1"/>
  <c r="F37" i="14" s="1"/>
  <c r="G37" i="14" s="1"/>
  <c r="G35" i="12"/>
  <c r="E36" i="12"/>
  <c r="F36" i="12" s="1"/>
  <c r="F37" i="8"/>
  <c r="G37" i="8" s="1"/>
  <c r="E38" i="8"/>
  <c r="E38" i="14" l="1"/>
  <c r="H38" i="14" s="1"/>
  <c r="F38" i="14" s="1"/>
  <c r="G38" i="14" s="1"/>
  <c r="G36" i="12"/>
  <c r="E37" i="12"/>
  <c r="F37" i="12" s="1"/>
  <c r="F38" i="8"/>
  <c r="G38" i="8" s="1"/>
  <c r="E39" i="8"/>
  <c r="E39" i="14" l="1"/>
  <c r="G37" i="12"/>
  <c r="E38" i="12"/>
  <c r="F38" i="12" s="1"/>
  <c r="F39" i="8"/>
  <c r="G39" i="8" s="1"/>
  <c r="E40" i="8"/>
  <c r="H39" i="14" l="1"/>
  <c r="F39" i="14" s="1"/>
  <c r="G39" i="14" s="1"/>
  <c r="E40" i="14"/>
  <c r="H40" i="14" s="1"/>
  <c r="F40" i="14" s="1"/>
  <c r="G40" i="14" s="1"/>
  <c r="G38" i="12"/>
  <c r="E39" i="12"/>
  <c r="F39" i="12" s="1"/>
  <c r="E41" i="8"/>
  <c r="F40" i="8"/>
  <c r="G40" i="8" s="1"/>
  <c r="E41" i="14" l="1"/>
  <c r="H41" i="14" s="1"/>
  <c r="F41" i="14" s="1"/>
  <c r="G41" i="14" s="1"/>
  <c r="G39" i="12"/>
  <c r="E40" i="12"/>
  <c r="F40" i="12" s="1"/>
  <c r="E42" i="8"/>
  <c r="F41" i="8"/>
  <c r="G41" i="8" s="1"/>
  <c r="E42" i="14" l="1"/>
  <c r="H42" i="14" s="1"/>
  <c r="F42" i="14" s="1"/>
  <c r="G42" i="14" s="1"/>
  <c r="G40" i="12"/>
  <c r="E41" i="12"/>
  <c r="F41" i="12" s="1"/>
  <c r="E43" i="8"/>
  <c r="F42" i="8"/>
  <c r="G42" i="8" s="1"/>
  <c r="E43" i="14" l="1"/>
  <c r="G41" i="12"/>
  <c r="E42" i="12"/>
  <c r="F42" i="12" s="1"/>
  <c r="E44" i="8"/>
  <c r="F43" i="8"/>
  <c r="G43" i="8" s="1"/>
  <c r="H43" i="14" l="1"/>
  <c r="F43" i="14" s="1"/>
  <c r="G43" i="14" s="1"/>
  <c r="E44" i="14"/>
  <c r="G42" i="12"/>
  <c r="E43" i="12"/>
  <c r="F43" i="12" s="1"/>
  <c r="E45" i="8"/>
  <c r="F44" i="8"/>
  <c r="G44" i="8" s="1"/>
  <c r="H44" i="14" l="1"/>
  <c r="F44" i="14" s="1"/>
  <c r="G44" i="14" s="1"/>
  <c r="E45" i="14"/>
  <c r="G43" i="12"/>
  <c r="E44" i="12"/>
  <c r="F44" i="12" s="1"/>
  <c r="E46" i="8"/>
  <c r="F45" i="8"/>
  <c r="G45" i="8" s="1"/>
  <c r="H45" i="14" l="1"/>
  <c r="F45" i="14" s="1"/>
  <c r="G45" i="14" s="1"/>
  <c r="E46" i="14"/>
  <c r="H46" i="14" s="1"/>
  <c r="F46" i="14" s="1"/>
  <c r="G46" i="14" s="1"/>
  <c r="G44" i="12"/>
  <c r="E45" i="12"/>
  <c r="F45" i="12" s="1"/>
  <c r="E47" i="8"/>
  <c r="F46" i="8"/>
  <c r="G46" i="8" s="1"/>
  <c r="E47" i="14" l="1"/>
  <c r="G45" i="12"/>
  <c r="E46" i="12"/>
  <c r="F46" i="12" s="1"/>
  <c r="F47" i="8"/>
  <c r="G47" i="8" s="1"/>
  <c r="E48" i="8"/>
  <c r="H47" i="14" l="1"/>
  <c r="F47" i="14" s="1"/>
  <c r="G47" i="14" s="1"/>
  <c r="E48" i="14"/>
  <c r="H48" i="14" s="1"/>
  <c r="F48" i="14" s="1"/>
  <c r="G48" i="14" s="1"/>
  <c r="G46" i="12"/>
  <c r="E47" i="12"/>
  <c r="F47" i="12" s="1"/>
  <c r="F48" i="8"/>
  <c r="G48" i="8" s="1"/>
  <c r="E49" i="8"/>
  <c r="E49" i="14" l="1"/>
  <c r="H49" i="14" s="1"/>
  <c r="F49" i="14" s="1"/>
  <c r="G49" i="14" s="1"/>
  <c r="G47" i="12"/>
  <c r="E48" i="12"/>
  <c r="F48" i="12" s="1"/>
  <c r="F49" i="8"/>
  <c r="G49" i="8" s="1"/>
  <c r="E50" i="8"/>
  <c r="E50" i="14" l="1"/>
  <c r="H50" i="14" s="1"/>
  <c r="F50" i="14" s="1"/>
  <c r="G50" i="14" s="1"/>
  <c r="G48" i="12"/>
  <c r="E49" i="12"/>
  <c r="F49" i="12" s="1"/>
  <c r="F50" i="8"/>
  <c r="G50" i="8" s="1"/>
  <c r="E51" i="8"/>
  <c r="E51" i="14" l="1"/>
  <c r="G49" i="12"/>
  <c r="E50" i="12"/>
  <c r="F50" i="12" s="1"/>
  <c r="F51" i="8"/>
  <c r="G51" i="8" s="1"/>
  <c r="E52" i="8"/>
  <c r="H51" i="14" l="1"/>
  <c r="F51" i="14" s="1"/>
  <c r="G51" i="14" s="1"/>
  <c r="E52" i="14"/>
  <c r="H52" i="14" s="1"/>
  <c r="F52" i="14" s="1"/>
  <c r="G52" i="14" s="1"/>
  <c r="G50" i="12"/>
  <c r="E51" i="12"/>
  <c r="F51" i="12" s="1"/>
  <c r="F52" i="8"/>
  <c r="G52" i="8" s="1"/>
  <c r="E53" i="8"/>
  <c r="E53" i="14" l="1"/>
  <c r="H53" i="14" s="1"/>
  <c r="F53" i="14" s="1"/>
  <c r="G53" i="14" s="1"/>
  <c r="G51" i="12"/>
  <c r="E52" i="12"/>
  <c r="F52" i="12" s="1"/>
  <c r="E54" i="8"/>
  <c r="F53" i="8"/>
  <c r="G53" i="8" s="1"/>
  <c r="E54" i="14" l="1"/>
  <c r="H54" i="14" s="1"/>
  <c r="F54" i="14" s="1"/>
  <c r="G54" i="14" s="1"/>
  <c r="G52" i="12"/>
  <c r="E53" i="12"/>
  <c r="F53" i="12" s="1"/>
  <c r="E55" i="8"/>
  <c r="F54" i="8"/>
  <c r="G54" i="8" s="1"/>
  <c r="E55" i="14" l="1"/>
  <c r="H55" i="14" s="1"/>
  <c r="F55" i="14" s="1"/>
  <c r="G55" i="14" s="1"/>
  <c r="G53" i="12"/>
  <c r="E54" i="12"/>
  <c r="F54" i="12" s="1"/>
  <c r="E56" i="8"/>
  <c r="F55" i="8"/>
  <c r="G55" i="8" s="1"/>
  <c r="E56" i="14" l="1"/>
  <c r="G54" i="12"/>
  <c r="E55" i="12"/>
  <c r="F55" i="12" s="1"/>
  <c r="E57" i="8"/>
  <c r="F56" i="8"/>
  <c r="G56" i="8" s="1"/>
  <c r="H56" i="14" l="1"/>
  <c r="F56" i="14" s="1"/>
  <c r="G56" i="14" s="1"/>
  <c r="E57" i="14"/>
  <c r="G55" i="12"/>
  <c r="E56" i="12"/>
  <c r="F56" i="12" s="1"/>
  <c r="E58" i="8"/>
  <c r="F57" i="8"/>
  <c r="G57" i="8" s="1"/>
  <c r="H57" i="14" l="1"/>
  <c r="F57" i="14" s="1"/>
  <c r="G57" i="14" s="1"/>
  <c r="E58" i="14"/>
  <c r="H58" i="14" s="1"/>
  <c r="F58" i="14" s="1"/>
  <c r="G58" i="14" s="1"/>
  <c r="G56" i="12"/>
  <c r="E57" i="12"/>
  <c r="F57" i="12" s="1"/>
  <c r="E59" i="8"/>
  <c r="F58" i="8"/>
  <c r="G58" i="8" s="1"/>
  <c r="E59" i="14" l="1"/>
  <c r="H59" i="14" s="1"/>
  <c r="F59" i="14" s="1"/>
  <c r="G59" i="14" s="1"/>
  <c r="G57" i="12"/>
  <c r="E58" i="12"/>
  <c r="F58" i="12" s="1"/>
  <c r="F59" i="8"/>
  <c r="G59" i="8" s="1"/>
  <c r="E60" i="8"/>
  <c r="E60" i="14" l="1"/>
  <c r="H60" i="14" s="1"/>
  <c r="F60" i="14" s="1"/>
  <c r="G60" i="14" s="1"/>
  <c r="G58" i="12"/>
  <c r="E59" i="12"/>
  <c r="F59" i="12" s="1"/>
  <c r="F60" i="8"/>
  <c r="G60" i="8" s="1"/>
  <c r="E61" i="8"/>
  <c r="E61" i="14" l="1"/>
  <c r="G59" i="12"/>
  <c r="E60" i="12"/>
  <c r="F60" i="12" s="1"/>
  <c r="F61" i="8"/>
  <c r="G61" i="8" s="1"/>
  <c r="E62" i="8"/>
  <c r="H61" i="14" l="1"/>
  <c r="F61" i="14" s="1"/>
  <c r="G61" i="14" s="1"/>
  <c r="E62" i="14"/>
  <c r="G60" i="12"/>
  <c r="E61" i="12"/>
  <c r="F61" i="12" s="1"/>
  <c r="F62" i="8"/>
  <c r="G62" i="8" s="1"/>
  <c r="E63" i="8"/>
  <c r="H62" i="14" l="1"/>
  <c r="F62" i="14" s="1"/>
  <c r="G62" i="14" s="1"/>
  <c r="E63" i="14"/>
  <c r="G61" i="12"/>
  <c r="E62" i="12"/>
  <c r="F62" i="12" s="1"/>
  <c r="F63" i="8"/>
  <c r="G63" i="8" s="1"/>
  <c r="E64" i="8"/>
  <c r="H63" i="14" l="1"/>
  <c r="F63" i="14" s="1"/>
  <c r="G63" i="14" s="1"/>
  <c r="E64" i="14"/>
  <c r="H64" i="14" s="1"/>
  <c r="F64" i="14" s="1"/>
  <c r="G64" i="14" s="1"/>
  <c r="G62" i="12"/>
  <c r="E63" i="12"/>
  <c r="F63" i="12" s="1"/>
  <c r="E65" i="8"/>
  <c r="F64" i="8"/>
  <c r="G64" i="8" s="1"/>
  <c r="E65" i="14" l="1"/>
  <c r="G63" i="12"/>
  <c r="E64" i="12"/>
  <c r="F64" i="12" s="1"/>
  <c r="E66" i="8"/>
  <c r="F65" i="8"/>
  <c r="G65" i="8" s="1"/>
  <c r="H65" i="14" l="1"/>
  <c r="F65" i="14" s="1"/>
  <c r="G65" i="14" s="1"/>
  <c r="E66" i="14"/>
  <c r="H66" i="14" s="1"/>
  <c r="F66" i="14" s="1"/>
  <c r="G66" i="14" s="1"/>
  <c r="G64" i="12"/>
  <c r="E65" i="12"/>
  <c r="F65" i="12" s="1"/>
  <c r="E67" i="8"/>
  <c r="F66" i="8"/>
  <c r="G66" i="8" s="1"/>
  <c r="E67" i="14" l="1"/>
  <c r="H67" i="14" s="1"/>
  <c r="F67" i="14" s="1"/>
  <c r="G67" i="14" s="1"/>
  <c r="G65" i="12"/>
  <c r="E66" i="12"/>
  <c r="F66" i="12" s="1"/>
  <c r="E68" i="8"/>
  <c r="F67" i="8"/>
  <c r="G67" i="8" s="1"/>
  <c r="E68" i="14" l="1"/>
  <c r="G66" i="12"/>
  <c r="E67" i="12"/>
  <c r="F67" i="12" s="1"/>
  <c r="E69" i="8"/>
  <c r="F68" i="8"/>
  <c r="G68" i="8" s="1"/>
  <c r="H68" i="14" l="1"/>
  <c r="F68" i="14" s="1"/>
  <c r="G68" i="14" s="1"/>
  <c r="E69" i="14"/>
  <c r="G67" i="12"/>
  <c r="E68" i="12"/>
  <c r="F68" i="12" s="1"/>
  <c r="E70" i="8"/>
  <c r="F69" i="8"/>
  <c r="G69" i="8" s="1"/>
  <c r="H69" i="14" l="1"/>
  <c r="F69" i="14" s="1"/>
  <c r="G69" i="14" s="1"/>
  <c r="E70" i="14"/>
  <c r="G68" i="12"/>
  <c r="E69" i="12"/>
  <c r="F69" i="12" s="1"/>
  <c r="E71" i="8"/>
  <c r="F70" i="8"/>
  <c r="G70" i="8" s="1"/>
  <c r="H70" i="14" l="1"/>
  <c r="F70" i="14" s="1"/>
  <c r="G70" i="14" s="1"/>
  <c r="E71" i="14"/>
  <c r="H71" i="14" s="1"/>
  <c r="F71" i="14" s="1"/>
  <c r="G71" i="14" s="1"/>
  <c r="G69" i="12"/>
  <c r="E70" i="12"/>
  <c r="F70" i="12" s="1"/>
  <c r="F71" i="8"/>
  <c r="G71" i="8" s="1"/>
  <c r="E72" i="8"/>
  <c r="E72" i="14" l="1"/>
  <c r="H72" i="14" s="1"/>
  <c r="F72" i="14" s="1"/>
  <c r="G72" i="14" s="1"/>
  <c r="G70" i="12"/>
  <c r="E71" i="12"/>
  <c r="F71" i="12" s="1"/>
  <c r="F72" i="8"/>
  <c r="G72" i="8" s="1"/>
  <c r="E73" i="8"/>
  <c r="E73" i="14" l="1"/>
  <c r="G71" i="12"/>
  <c r="E72" i="12"/>
  <c r="F72" i="12" s="1"/>
  <c r="F73" i="8"/>
  <c r="G73" i="8" s="1"/>
  <c r="E74" i="8"/>
  <c r="H73" i="14" l="1"/>
  <c r="F73" i="14" s="1"/>
  <c r="G73" i="14" s="1"/>
  <c r="E74" i="14"/>
  <c r="H74" i="14" s="1"/>
  <c r="F74" i="14" s="1"/>
  <c r="G74" i="14" s="1"/>
  <c r="G72" i="12"/>
  <c r="E73" i="12"/>
  <c r="F73" i="12" s="1"/>
  <c r="F74" i="8"/>
  <c r="G74" i="8" s="1"/>
  <c r="E75" i="8"/>
  <c r="E75" i="14" l="1"/>
  <c r="H75" i="14" s="1"/>
  <c r="F75" i="14" s="1"/>
  <c r="G75" i="14" s="1"/>
  <c r="G73" i="12"/>
  <c r="E74" i="12"/>
  <c r="F74" i="12" s="1"/>
  <c r="F75" i="8"/>
  <c r="G75" i="8" s="1"/>
  <c r="E76" i="8"/>
  <c r="E76" i="14" l="1"/>
  <c r="H76" i="14" s="1"/>
  <c r="F76" i="14" s="1"/>
  <c r="G76" i="14" s="1"/>
  <c r="G74" i="12"/>
  <c r="E75" i="12"/>
  <c r="F75" i="12" s="1"/>
  <c r="F76" i="8"/>
  <c r="G76" i="8" s="1"/>
  <c r="E77" i="8"/>
  <c r="E77" i="14" l="1"/>
  <c r="H77" i="14" s="1"/>
  <c r="F77" i="14" s="1"/>
  <c r="G77" i="14" s="1"/>
  <c r="G75" i="12"/>
  <c r="E76" i="12"/>
  <c r="F76" i="12" s="1"/>
  <c r="E78" i="8"/>
  <c r="F77" i="8"/>
  <c r="G77" i="8" s="1"/>
  <c r="E78" i="14" l="1"/>
  <c r="H78" i="14" s="1"/>
  <c r="F78" i="14" s="1"/>
  <c r="G78" i="14" s="1"/>
  <c r="G76" i="12"/>
  <c r="E77" i="12"/>
  <c r="F77" i="12" s="1"/>
  <c r="E79" i="8"/>
  <c r="F78" i="8"/>
  <c r="G78" i="8" s="1"/>
  <c r="E79" i="14" l="1"/>
  <c r="H79" i="14" s="1"/>
  <c r="F79" i="14" s="1"/>
  <c r="G79" i="14" s="1"/>
  <c r="G77" i="12"/>
  <c r="E78" i="12"/>
  <c r="F78" i="12" s="1"/>
  <c r="E80" i="8"/>
  <c r="F79" i="8"/>
  <c r="G79" i="8" s="1"/>
  <c r="E80" i="14" l="1"/>
  <c r="G78" i="12"/>
  <c r="E79" i="12"/>
  <c r="F79" i="12" s="1"/>
  <c r="E81" i="8"/>
  <c r="F80" i="8"/>
  <c r="G80" i="8" s="1"/>
  <c r="H80" i="14" l="1"/>
  <c r="F80" i="14" s="1"/>
  <c r="G80" i="14" s="1"/>
  <c r="E81" i="14"/>
  <c r="G79" i="12"/>
  <c r="E80" i="12"/>
  <c r="F80" i="12" s="1"/>
  <c r="E82" i="8"/>
  <c r="F81" i="8"/>
  <c r="G81" i="8" s="1"/>
  <c r="H81" i="14" l="1"/>
  <c r="F81" i="14" s="1"/>
  <c r="G81" i="14" s="1"/>
  <c r="E82" i="14"/>
  <c r="H82" i="14" s="1"/>
  <c r="F82" i="14" s="1"/>
  <c r="G82" i="14" s="1"/>
  <c r="G80" i="12"/>
  <c r="E81" i="12"/>
  <c r="F81" i="12" s="1"/>
  <c r="E83" i="8"/>
  <c r="F82" i="8"/>
  <c r="G82" i="8" s="1"/>
  <c r="E83" i="14" l="1"/>
  <c r="H83" i="14" s="1"/>
  <c r="F83" i="14" s="1"/>
  <c r="G83" i="14" s="1"/>
  <c r="G81" i="12"/>
  <c r="E82" i="12"/>
  <c r="F82" i="12" s="1"/>
  <c r="F83" i="8"/>
  <c r="G83" i="8" s="1"/>
  <c r="E84" i="8"/>
  <c r="E84" i="14" l="1"/>
  <c r="H84" i="14" s="1"/>
  <c r="F84" i="14" s="1"/>
  <c r="G84" i="14" s="1"/>
  <c r="G82" i="12"/>
  <c r="E83" i="12"/>
  <c r="F83" i="12" s="1"/>
  <c r="F84" i="8"/>
  <c r="G84" i="8" s="1"/>
  <c r="E85" i="8"/>
  <c r="E85" i="14" l="1"/>
  <c r="H85" i="14" s="1"/>
  <c r="F85" i="14" s="1"/>
  <c r="G85" i="14" s="1"/>
  <c r="G83" i="12"/>
  <c r="E84" i="12"/>
  <c r="F84" i="12" s="1"/>
  <c r="F85" i="8"/>
  <c r="G85" i="8" s="1"/>
  <c r="E86" i="8"/>
  <c r="E86" i="14" l="1"/>
  <c r="H86" i="14" s="1"/>
  <c r="F86" i="14" s="1"/>
  <c r="G86" i="14" s="1"/>
  <c r="G84" i="12"/>
  <c r="E85" i="12"/>
  <c r="F85" i="12" s="1"/>
  <c r="F86" i="8"/>
  <c r="G86" i="8" s="1"/>
  <c r="E87" i="8"/>
  <c r="E87" i="14" l="1"/>
  <c r="G85" i="12"/>
  <c r="E86" i="12"/>
  <c r="F86" i="12" s="1"/>
  <c r="F87" i="8"/>
  <c r="G87" i="8" s="1"/>
  <c r="E88" i="8"/>
  <c r="H87" i="14" l="1"/>
  <c r="F87" i="14" s="1"/>
  <c r="G87" i="14" s="1"/>
  <c r="E88" i="14"/>
  <c r="H88" i="14" s="1"/>
  <c r="F88" i="14" s="1"/>
  <c r="G88" i="14" s="1"/>
  <c r="G86" i="12"/>
  <c r="E87" i="12"/>
  <c r="F87" i="12" s="1"/>
  <c r="F88" i="8"/>
  <c r="G88" i="8" s="1"/>
  <c r="E89" i="8"/>
  <c r="E89" i="14" l="1"/>
  <c r="G87" i="12"/>
  <c r="E88" i="12"/>
  <c r="F88" i="12" s="1"/>
  <c r="E90" i="8"/>
  <c r="F89" i="8"/>
  <c r="G89" i="8" s="1"/>
  <c r="H89" i="14" l="1"/>
  <c r="F89" i="14" s="1"/>
  <c r="G89" i="14" s="1"/>
  <c r="E90" i="14"/>
  <c r="H90" i="14" s="1"/>
  <c r="F90" i="14" s="1"/>
  <c r="G90" i="14" s="1"/>
  <c r="G88" i="12"/>
  <c r="E89" i="12"/>
  <c r="F89" i="12" s="1"/>
  <c r="E91" i="8"/>
  <c r="F90" i="8"/>
  <c r="G90" i="8" s="1"/>
  <c r="E91" i="14" l="1"/>
  <c r="G89" i="12"/>
  <c r="E90" i="12"/>
  <c r="F90" i="12" s="1"/>
  <c r="E92" i="8"/>
  <c r="F91" i="8"/>
  <c r="G91" i="8" s="1"/>
  <c r="H91" i="14" l="1"/>
  <c r="F91" i="14" s="1"/>
  <c r="G91" i="14" s="1"/>
  <c r="E92" i="14"/>
  <c r="G90" i="12"/>
  <c r="E91" i="12"/>
  <c r="F91" i="12" s="1"/>
  <c r="E93" i="8"/>
  <c r="F92" i="8"/>
  <c r="G92" i="8" s="1"/>
  <c r="H92" i="14" l="1"/>
  <c r="F92" i="14" s="1"/>
  <c r="G92" i="14" s="1"/>
  <c r="E93" i="14"/>
  <c r="G91" i="12"/>
  <c r="E92" i="12"/>
  <c r="F92" i="12" s="1"/>
  <c r="E94" i="8"/>
  <c r="F93" i="8"/>
  <c r="G93" i="8" s="1"/>
  <c r="H93" i="14" l="1"/>
  <c r="F93" i="14" s="1"/>
  <c r="G93" i="14" s="1"/>
  <c r="E94" i="14"/>
  <c r="H94" i="14" s="1"/>
  <c r="F94" i="14" s="1"/>
  <c r="G94" i="14" s="1"/>
  <c r="G92" i="12"/>
  <c r="E93" i="12"/>
  <c r="F93" i="12" s="1"/>
  <c r="E95" i="8"/>
  <c r="F94" i="8"/>
  <c r="G94" i="8" s="1"/>
  <c r="E95" i="14" l="1"/>
  <c r="H95" i="14" s="1"/>
  <c r="F95" i="14" s="1"/>
  <c r="G95" i="14" s="1"/>
  <c r="G93" i="12"/>
  <c r="E94" i="12"/>
  <c r="F94" i="12" s="1"/>
  <c r="F95" i="8"/>
  <c r="G95" i="8" s="1"/>
  <c r="E96" i="8"/>
  <c r="E96" i="14" l="1"/>
  <c r="G94" i="12"/>
  <c r="E95" i="12"/>
  <c r="F95" i="12" s="1"/>
  <c r="F96" i="8"/>
  <c r="G96" i="8" s="1"/>
  <c r="E97" i="8"/>
  <c r="H96" i="14" l="1"/>
  <c r="F96" i="14" s="1"/>
  <c r="G96" i="14" s="1"/>
  <c r="E97" i="14"/>
  <c r="G95" i="12"/>
  <c r="E96" i="12"/>
  <c r="F96" i="12" s="1"/>
  <c r="F97" i="8"/>
  <c r="G97" i="8" s="1"/>
  <c r="E98" i="8"/>
  <c r="H97" i="14" l="1"/>
  <c r="F97" i="14" s="1"/>
  <c r="G97" i="14" s="1"/>
  <c r="E98" i="14"/>
  <c r="H98" i="14" s="1"/>
  <c r="F98" i="14" s="1"/>
  <c r="G98" i="14" s="1"/>
  <c r="G96" i="12"/>
  <c r="E97" i="12"/>
  <c r="F97" i="12" s="1"/>
  <c r="F98" i="8"/>
  <c r="G98" i="8" s="1"/>
  <c r="E99" i="8"/>
  <c r="E99" i="14" l="1"/>
  <c r="G97" i="12"/>
  <c r="E98" i="12"/>
  <c r="F98" i="12" s="1"/>
  <c r="F99" i="8"/>
  <c r="G99" i="8" s="1"/>
  <c r="E100" i="8"/>
  <c r="H99" i="14" l="1"/>
  <c r="F99" i="14" s="1"/>
  <c r="G99" i="14" s="1"/>
  <c r="E100" i="14"/>
  <c r="H100" i="14" s="1"/>
  <c r="F100" i="14" s="1"/>
  <c r="G100" i="14" s="1"/>
  <c r="G98" i="12"/>
  <c r="E99" i="12"/>
  <c r="F99" i="12" s="1"/>
  <c r="E101" i="8"/>
  <c r="F100" i="8"/>
  <c r="G100" i="8" s="1"/>
  <c r="E101" i="14" l="1"/>
  <c r="G99" i="12"/>
  <c r="E100" i="12"/>
  <c r="F100" i="12" s="1"/>
  <c r="E102" i="8"/>
  <c r="F101" i="8"/>
  <c r="G101" i="8" s="1"/>
  <c r="H101" i="14" l="1"/>
  <c r="F101" i="14" s="1"/>
  <c r="G101" i="14" s="1"/>
  <c r="E102" i="14"/>
  <c r="H102" i="14" s="1"/>
  <c r="F102" i="14" s="1"/>
  <c r="G102" i="14" s="1"/>
  <c r="G100" i="12"/>
  <c r="E101" i="12"/>
  <c r="F101" i="12" s="1"/>
  <c r="E103" i="8"/>
  <c r="F102" i="8"/>
  <c r="G102" i="8" s="1"/>
  <c r="E103" i="14" l="1"/>
  <c r="H103" i="14" s="1"/>
  <c r="F103" i="14" s="1"/>
  <c r="G103" i="14" s="1"/>
  <c r="G101" i="12"/>
  <c r="E102" i="12"/>
  <c r="F102" i="12" s="1"/>
  <c r="E104" i="8"/>
  <c r="F103" i="8"/>
  <c r="G103" i="8" s="1"/>
  <c r="E104" i="14" l="1"/>
  <c r="G102" i="12"/>
  <c r="E103" i="12"/>
  <c r="F103" i="12" s="1"/>
  <c r="E105" i="8"/>
  <c r="F104" i="8"/>
  <c r="G104" i="8" s="1"/>
  <c r="H104" i="14" l="1"/>
  <c r="F104" i="14" s="1"/>
  <c r="G104" i="14" s="1"/>
  <c r="E105" i="14"/>
  <c r="H105" i="14" s="1"/>
  <c r="F105" i="14" s="1"/>
  <c r="G105" i="14" s="1"/>
  <c r="G103" i="12"/>
  <c r="E104" i="12"/>
  <c r="F104" i="12" s="1"/>
  <c r="E106" i="8"/>
  <c r="F105" i="8"/>
  <c r="G105" i="8" s="1"/>
  <c r="E106" i="14" l="1"/>
  <c r="H106" i="14" s="1"/>
  <c r="F106" i="14" s="1"/>
  <c r="G106" i="14" s="1"/>
  <c r="G104" i="12"/>
  <c r="E105" i="12"/>
  <c r="F105" i="12" s="1"/>
  <c r="E107" i="8"/>
  <c r="F106" i="8"/>
  <c r="G106" i="8" s="1"/>
  <c r="E107" i="14" l="1"/>
  <c r="H107" i="14" s="1"/>
  <c r="F107" i="14" s="1"/>
  <c r="G107" i="14" s="1"/>
  <c r="G105" i="12"/>
  <c r="E106" i="12"/>
  <c r="F106" i="12" s="1"/>
  <c r="E108" i="8"/>
  <c r="F107" i="8"/>
  <c r="G107" i="8" s="1"/>
  <c r="E108" i="14" l="1"/>
  <c r="H108" i="14" s="1"/>
  <c r="F108" i="14" s="1"/>
  <c r="G108" i="14" s="1"/>
  <c r="G106" i="12"/>
  <c r="E107" i="12"/>
  <c r="F107" i="12" s="1"/>
  <c r="F108" i="8"/>
  <c r="G108" i="8" s="1"/>
  <c r="E109" i="8"/>
  <c r="E109" i="14" l="1"/>
  <c r="G107" i="12"/>
  <c r="E108" i="12"/>
  <c r="F108" i="12" s="1"/>
  <c r="F109" i="8"/>
  <c r="G109" i="8" s="1"/>
  <c r="E110" i="8"/>
  <c r="H109" i="14" l="1"/>
  <c r="F109" i="14" s="1"/>
  <c r="G109" i="14" s="1"/>
  <c r="E110" i="14"/>
  <c r="H110" i="14" s="1"/>
  <c r="F110" i="14" s="1"/>
  <c r="G110" i="14" s="1"/>
  <c r="G108" i="12"/>
  <c r="E109" i="12"/>
  <c r="F109" i="12" s="1"/>
  <c r="F110" i="8"/>
  <c r="G110" i="8" s="1"/>
  <c r="E111" i="8"/>
  <c r="E111" i="14" l="1"/>
  <c r="H111" i="14" s="1"/>
  <c r="F111" i="14" s="1"/>
  <c r="G111" i="14" s="1"/>
  <c r="G109" i="12"/>
  <c r="E110" i="12"/>
  <c r="F110" i="12" s="1"/>
  <c r="F111" i="8"/>
  <c r="G111" i="8" s="1"/>
  <c r="E112" i="8"/>
  <c r="E112" i="14" l="1"/>
  <c r="H112" i="14" s="1"/>
  <c r="F112" i="14" s="1"/>
  <c r="G112" i="14" s="1"/>
  <c r="G110" i="12"/>
  <c r="E111" i="12"/>
  <c r="F111" i="12" s="1"/>
  <c r="E113" i="8"/>
  <c r="F112" i="8"/>
  <c r="G112" i="8" s="1"/>
  <c r="E113" i="14" l="1"/>
  <c r="H113" i="14" s="1"/>
  <c r="F113" i="14" s="1"/>
  <c r="G113" i="14" s="1"/>
  <c r="G111" i="12"/>
  <c r="E112" i="12"/>
  <c r="F112" i="12" s="1"/>
  <c r="E114" i="8"/>
  <c r="F113" i="8"/>
  <c r="G113" i="8" s="1"/>
  <c r="E114" i="14" l="1"/>
  <c r="H114" i="14" s="1"/>
  <c r="F114" i="14" s="1"/>
  <c r="G114" i="14" s="1"/>
  <c r="G112" i="12"/>
  <c r="E113" i="12"/>
  <c r="F113" i="12" s="1"/>
  <c r="E115" i="8"/>
  <c r="F114" i="8"/>
  <c r="G114" i="8" s="1"/>
  <c r="E115" i="14" l="1"/>
  <c r="H115" i="14" s="1"/>
  <c r="F115" i="14" s="1"/>
  <c r="G115" i="14" s="1"/>
  <c r="G113" i="12"/>
  <c r="E114" i="12"/>
  <c r="F114" i="12" s="1"/>
  <c r="E116" i="8"/>
  <c r="F115" i="8"/>
  <c r="G115" i="8" s="1"/>
  <c r="E116" i="14" l="1"/>
  <c r="G114" i="12"/>
  <c r="E115" i="12"/>
  <c r="F115" i="12" s="1"/>
  <c r="E117" i="8"/>
  <c r="F116" i="8"/>
  <c r="G116" i="8" s="1"/>
  <c r="H116" i="14" l="1"/>
  <c r="F116" i="14" s="1"/>
  <c r="G116" i="14" s="1"/>
  <c r="E117" i="14"/>
  <c r="H117" i="14" s="1"/>
  <c r="F117" i="14" s="1"/>
  <c r="G117" i="14" s="1"/>
  <c r="G115" i="12"/>
  <c r="E116" i="12"/>
  <c r="F116" i="12" s="1"/>
  <c r="E118" i="8"/>
  <c r="F117" i="8"/>
  <c r="G117" i="8" s="1"/>
  <c r="E118" i="14" l="1"/>
  <c r="G116" i="12"/>
  <c r="E117" i="12"/>
  <c r="F117" i="12" s="1"/>
  <c r="E119" i="8"/>
  <c r="F118" i="8"/>
  <c r="G118" i="8" s="1"/>
  <c r="H118" i="14" l="1"/>
  <c r="F118" i="14" s="1"/>
  <c r="G118" i="14" s="1"/>
  <c r="E119" i="14"/>
  <c r="H119" i="14" s="1"/>
  <c r="F119" i="14" s="1"/>
  <c r="G119" i="14" s="1"/>
  <c r="G117" i="12"/>
  <c r="E118" i="12"/>
  <c r="F118" i="12" s="1"/>
  <c r="E120" i="8"/>
  <c r="F119" i="8"/>
  <c r="G119" i="8" s="1"/>
  <c r="E120" i="14" l="1"/>
  <c r="H120" i="14" s="1"/>
  <c r="F120" i="14" s="1"/>
  <c r="G120" i="14" s="1"/>
  <c r="G118" i="12"/>
  <c r="E119" i="12"/>
  <c r="F119" i="12" s="1"/>
  <c r="F120" i="8"/>
  <c r="G120" i="8" s="1"/>
  <c r="E121" i="8"/>
  <c r="E121" i="14" l="1"/>
  <c r="H121" i="14" s="1"/>
  <c r="F121" i="14" s="1"/>
  <c r="G121" i="14" s="1"/>
  <c r="G119" i="12"/>
  <c r="E120" i="12"/>
  <c r="F120" i="12" s="1"/>
  <c r="F121" i="8"/>
  <c r="G121" i="8" s="1"/>
  <c r="E122" i="8"/>
  <c r="E122" i="14" l="1"/>
  <c r="H122" i="14" s="1"/>
  <c r="F122" i="14" s="1"/>
  <c r="G122" i="14" s="1"/>
  <c r="G120" i="12"/>
  <c r="E121" i="12"/>
  <c r="F121" i="12" s="1"/>
  <c r="F122" i="8"/>
  <c r="G122" i="8" s="1"/>
  <c r="E123" i="8"/>
  <c r="E123" i="14" l="1"/>
  <c r="G121" i="12"/>
  <c r="E122" i="12"/>
  <c r="F122" i="12" s="1"/>
  <c r="F123" i="8"/>
  <c r="G123" i="8" s="1"/>
  <c r="E124" i="8"/>
  <c r="H123" i="14" l="1"/>
  <c r="F123" i="14" s="1"/>
  <c r="G123" i="14" s="1"/>
  <c r="E124" i="14"/>
  <c r="H124" i="14" s="1"/>
  <c r="F124" i="14" s="1"/>
  <c r="G124" i="14" s="1"/>
  <c r="G122" i="12"/>
  <c r="E123" i="12"/>
  <c r="F123" i="12" s="1"/>
  <c r="E125" i="8"/>
  <c r="F124" i="8"/>
  <c r="G124" i="8" s="1"/>
  <c r="E125" i="14" l="1"/>
  <c r="H125" i="14" s="1"/>
  <c r="F125" i="14" s="1"/>
  <c r="G125" i="14" s="1"/>
  <c r="G123" i="12"/>
  <c r="E124" i="12"/>
  <c r="F124" i="12" s="1"/>
  <c r="E126" i="8"/>
  <c r="F125" i="8"/>
  <c r="G125" i="8" s="1"/>
  <c r="E126" i="14" l="1"/>
  <c r="H126" i="14" s="1"/>
  <c r="F126" i="14" s="1"/>
  <c r="G126" i="14" s="1"/>
  <c r="G124" i="12"/>
  <c r="E125" i="12"/>
  <c r="F125" i="12" s="1"/>
  <c r="E127" i="8"/>
  <c r="F126" i="8"/>
  <c r="G126" i="8" s="1"/>
  <c r="E127" i="14" l="1"/>
  <c r="H127" i="14" s="1"/>
  <c r="F127" i="14" s="1"/>
  <c r="G127" i="14" s="1"/>
  <c r="G125" i="12"/>
  <c r="E126" i="12"/>
  <c r="F126" i="12" s="1"/>
  <c r="E128" i="8"/>
  <c r="F127" i="8"/>
  <c r="G127" i="8" s="1"/>
  <c r="E128" i="14" l="1"/>
  <c r="G126" i="12"/>
  <c r="E127" i="12"/>
  <c r="F127" i="12" s="1"/>
  <c r="E129" i="8"/>
  <c r="F128" i="8"/>
  <c r="G128" i="8" s="1"/>
  <c r="H128" i="14" l="1"/>
  <c r="F128" i="14" s="1"/>
  <c r="G128" i="14" s="1"/>
  <c r="E129" i="14"/>
  <c r="H129" i="14" s="1"/>
  <c r="F129" i="14" s="1"/>
  <c r="G129" i="14" s="1"/>
  <c r="G127" i="12"/>
  <c r="E128" i="12"/>
  <c r="F128" i="12" s="1"/>
  <c r="E130" i="8"/>
  <c r="F129" i="8"/>
  <c r="G129" i="8" s="1"/>
  <c r="E130" i="14" l="1"/>
  <c r="H130" i="14" s="1"/>
  <c r="F130" i="14" s="1"/>
  <c r="G130" i="14" s="1"/>
  <c r="G128" i="12"/>
  <c r="E129" i="12"/>
  <c r="F129" i="12" s="1"/>
  <c r="E131" i="8"/>
  <c r="F130" i="8"/>
  <c r="G130" i="8" s="1"/>
  <c r="E131" i="14" l="1"/>
  <c r="H131" i="14" s="1"/>
  <c r="F131" i="14" s="1"/>
  <c r="G131" i="14" s="1"/>
  <c r="G129" i="12"/>
  <c r="E130" i="12"/>
  <c r="F130" i="12" s="1"/>
  <c r="E132" i="8"/>
  <c r="F131" i="8"/>
  <c r="G131" i="8" s="1"/>
  <c r="E132" i="14" l="1"/>
  <c r="H132" i="14" s="1"/>
  <c r="F132" i="14" s="1"/>
  <c r="G132" i="14" s="1"/>
  <c r="G130" i="12"/>
  <c r="E131" i="12"/>
  <c r="F131" i="12" s="1"/>
  <c r="F132" i="8"/>
  <c r="G132" i="8" s="1"/>
  <c r="E133" i="8"/>
  <c r="E133" i="14" l="1"/>
  <c r="G131" i="12"/>
  <c r="E132" i="12"/>
  <c r="F132" i="12" s="1"/>
  <c r="F133" i="8"/>
  <c r="G133" i="8" s="1"/>
  <c r="E134" i="8"/>
  <c r="H133" i="14" l="1"/>
  <c r="F133" i="14" s="1"/>
  <c r="G133" i="14" s="1"/>
  <c r="E134" i="14"/>
  <c r="H134" i="14" s="1"/>
  <c r="F134" i="14" s="1"/>
  <c r="G134" i="14" s="1"/>
  <c r="G132" i="12"/>
  <c r="E133" i="12"/>
  <c r="F133" i="12" s="1"/>
  <c r="F134" i="8"/>
  <c r="G134" i="8" s="1"/>
  <c r="E135" i="8"/>
  <c r="E135" i="14" l="1"/>
  <c r="G133" i="12"/>
  <c r="E134" i="12"/>
  <c r="F134" i="12" s="1"/>
  <c r="F135" i="8"/>
  <c r="G135" i="8" s="1"/>
  <c r="E136" i="8"/>
  <c r="H135" i="14" l="1"/>
  <c r="F135" i="14" s="1"/>
  <c r="G135" i="14" s="1"/>
  <c r="E136" i="14"/>
  <c r="H136" i="14" s="1"/>
  <c r="F136" i="14" s="1"/>
  <c r="G136" i="14" s="1"/>
  <c r="G134" i="12"/>
  <c r="E135" i="12"/>
  <c r="F135" i="12" s="1"/>
  <c r="E137" i="8"/>
  <c r="F136" i="8"/>
  <c r="G136" i="8" s="1"/>
  <c r="E137" i="14" l="1"/>
  <c r="H137" i="14" s="1"/>
  <c r="F137" i="14" s="1"/>
  <c r="G137" i="14" s="1"/>
  <c r="G135" i="12"/>
  <c r="E136" i="12"/>
  <c r="F136" i="12" s="1"/>
  <c r="E138" i="8"/>
  <c r="F137" i="8"/>
  <c r="G137" i="8" s="1"/>
  <c r="E138" i="14" l="1"/>
  <c r="H138" i="14" s="1"/>
  <c r="F138" i="14" s="1"/>
  <c r="G138" i="14" s="1"/>
  <c r="G136" i="12"/>
  <c r="E137" i="12"/>
  <c r="F137" i="12" s="1"/>
  <c r="E139" i="8"/>
  <c r="F138" i="8"/>
  <c r="G138" i="8" s="1"/>
  <c r="E139" i="14" l="1"/>
  <c r="H139" i="14" s="1"/>
  <c r="F139" i="14" s="1"/>
  <c r="G139" i="14" s="1"/>
  <c r="G137" i="12"/>
  <c r="E138" i="12"/>
  <c r="F138" i="12" s="1"/>
  <c r="E140" i="8"/>
  <c r="F139" i="8"/>
  <c r="G139" i="8" s="1"/>
  <c r="E140" i="14" l="1"/>
  <c r="G138" i="12"/>
  <c r="E139" i="12"/>
  <c r="F139" i="12" s="1"/>
  <c r="E141" i="8"/>
  <c r="F140" i="8"/>
  <c r="G140" i="8" s="1"/>
  <c r="H140" i="14" l="1"/>
  <c r="F140" i="14" s="1"/>
  <c r="G140" i="14" s="1"/>
  <c r="E141" i="14"/>
  <c r="G139" i="12"/>
  <c r="E140" i="12"/>
  <c r="F140" i="12" s="1"/>
  <c r="E142" i="8"/>
  <c r="F141" i="8"/>
  <c r="G141" i="8" s="1"/>
  <c r="H141" i="14" l="1"/>
  <c r="F141" i="14" s="1"/>
  <c r="G141" i="14" s="1"/>
  <c r="E142" i="14"/>
  <c r="H142" i="14" s="1"/>
  <c r="F142" i="14" s="1"/>
  <c r="G142" i="14" s="1"/>
  <c r="G140" i="12"/>
  <c r="E141" i="12"/>
  <c r="F141" i="12" s="1"/>
  <c r="E143" i="8"/>
  <c r="F142" i="8"/>
  <c r="G142" i="8" s="1"/>
  <c r="E143" i="14" l="1"/>
  <c r="H143" i="14" s="1"/>
  <c r="F143" i="14" s="1"/>
  <c r="G143" i="14" s="1"/>
  <c r="G141" i="12"/>
  <c r="E142" i="12"/>
  <c r="F142" i="12" s="1"/>
  <c r="F143" i="8"/>
  <c r="G143" i="8" s="1"/>
  <c r="E144" i="8"/>
  <c r="E144" i="14" l="1"/>
  <c r="H144" i="14" s="1"/>
  <c r="F144" i="14" s="1"/>
  <c r="G144" i="14" s="1"/>
  <c r="G142" i="12"/>
  <c r="E143" i="12"/>
  <c r="F143" i="12" s="1"/>
  <c r="F144" i="8"/>
  <c r="G144" i="8" s="1"/>
  <c r="E145" i="8"/>
  <c r="E145" i="14" l="1"/>
  <c r="H145" i="14" s="1"/>
  <c r="F145" i="14" s="1"/>
  <c r="G145" i="14" s="1"/>
  <c r="G143" i="12"/>
  <c r="E144" i="12"/>
  <c r="F144" i="12" s="1"/>
  <c r="F145" i="8"/>
  <c r="G145" i="8" s="1"/>
  <c r="E146" i="8"/>
  <c r="E146" i="14" l="1"/>
  <c r="H146" i="14" s="1"/>
  <c r="F146" i="14" s="1"/>
  <c r="G146" i="14" s="1"/>
  <c r="G144" i="12"/>
  <c r="E145" i="12"/>
  <c r="F145" i="12" s="1"/>
  <c r="F146" i="8"/>
  <c r="G146" i="8" s="1"/>
  <c r="E147" i="8"/>
  <c r="E147" i="14" l="1"/>
  <c r="G145" i="12"/>
  <c r="E146" i="12"/>
  <c r="F146" i="12" s="1"/>
  <c r="F147" i="8"/>
  <c r="G147" i="8" s="1"/>
  <c r="E148" i="8"/>
  <c r="H147" i="14" l="1"/>
  <c r="F147" i="14" s="1"/>
  <c r="G147" i="14" s="1"/>
  <c r="E148" i="14"/>
  <c r="H148" i="14" s="1"/>
  <c r="F148" i="14" s="1"/>
  <c r="G148" i="14" s="1"/>
  <c r="G146" i="12"/>
  <c r="E147" i="12"/>
  <c r="F147" i="12" s="1"/>
  <c r="E149" i="8"/>
  <c r="F148" i="8"/>
  <c r="G148" i="8" s="1"/>
  <c r="E149" i="14" l="1"/>
  <c r="H149" i="14" s="1"/>
  <c r="F149" i="14" s="1"/>
  <c r="G149" i="14" s="1"/>
  <c r="G147" i="12"/>
  <c r="E148" i="12"/>
  <c r="F148" i="12" s="1"/>
  <c r="E150" i="8"/>
  <c r="F149" i="8"/>
  <c r="G149" i="8" s="1"/>
  <c r="E150" i="14" l="1"/>
  <c r="H150" i="14" s="1"/>
  <c r="F150" i="14" s="1"/>
  <c r="G150" i="14" s="1"/>
  <c r="G148" i="12"/>
  <c r="E149" i="12"/>
  <c r="F149" i="12" s="1"/>
  <c r="E151" i="8"/>
  <c r="F150" i="8"/>
  <c r="G150" i="8" s="1"/>
  <c r="E151" i="14" l="1"/>
  <c r="H151" i="14" s="1"/>
  <c r="F151" i="14" s="1"/>
  <c r="G151" i="14" s="1"/>
  <c r="G149" i="12"/>
  <c r="E150" i="12"/>
  <c r="F150" i="12" s="1"/>
  <c r="E152" i="8"/>
  <c r="F151" i="8"/>
  <c r="G151" i="8" s="1"/>
  <c r="E152" i="14" l="1"/>
  <c r="G150" i="12"/>
  <c r="E151" i="12"/>
  <c r="F151" i="12" s="1"/>
  <c r="E153" i="8"/>
  <c r="F152" i="8"/>
  <c r="G152" i="8" s="1"/>
  <c r="H152" i="14" l="1"/>
  <c r="F152" i="14" s="1"/>
  <c r="G152" i="14" s="1"/>
  <c r="E153" i="14"/>
  <c r="G151" i="12"/>
  <c r="E152" i="12"/>
  <c r="F152" i="12" s="1"/>
  <c r="E154" i="8"/>
  <c r="F153" i="8"/>
  <c r="G153" i="8" s="1"/>
  <c r="H153" i="14" l="1"/>
  <c r="F153" i="14" s="1"/>
  <c r="G153" i="14" s="1"/>
  <c r="E154" i="14"/>
  <c r="H154" i="14" s="1"/>
  <c r="F154" i="14" s="1"/>
  <c r="G154" i="14" s="1"/>
  <c r="G152" i="12"/>
  <c r="E153" i="12"/>
  <c r="F153" i="12" s="1"/>
  <c r="E155" i="8"/>
  <c r="F154" i="8"/>
  <c r="G154" i="8" s="1"/>
  <c r="E155" i="14" l="1"/>
  <c r="H155" i="14" s="1"/>
  <c r="F155" i="14" s="1"/>
  <c r="G155" i="14" s="1"/>
  <c r="G153" i="12"/>
  <c r="E154" i="12"/>
  <c r="F154" i="12" s="1"/>
  <c r="E156" i="8"/>
  <c r="F155" i="8"/>
  <c r="G155" i="8" s="1"/>
  <c r="E156" i="14" l="1"/>
  <c r="H156" i="14" s="1"/>
  <c r="F156" i="14" s="1"/>
  <c r="G156" i="14" s="1"/>
  <c r="G154" i="12"/>
  <c r="E155" i="12"/>
  <c r="F155" i="12" s="1"/>
  <c r="F156" i="8"/>
  <c r="G156" i="8" s="1"/>
  <c r="E157" i="8"/>
  <c r="E157" i="14" l="1"/>
  <c r="H157" i="14" s="1"/>
  <c r="F157" i="14" s="1"/>
  <c r="G157" i="14" s="1"/>
  <c r="G155" i="12"/>
  <c r="E156" i="12"/>
  <c r="F156" i="12" s="1"/>
  <c r="F157" i="8"/>
  <c r="G157" i="8" s="1"/>
  <c r="E158" i="8"/>
  <c r="E158" i="14" l="1"/>
  <c r="H158" i="14" s="1"/>
  <c r="F158" i="14" s="1"/>
  <c r="G158" i="14" s="1"/>
  <c r="G156" i="12"/>
  <c r="E157" i="12"/>
  <c r="F157" i="12" s="1"/>
  <c r="F158" i="8"/>
  <c r="G158" i="8" s="1"/>
  <c r="E159" i="8"/>
  <c r="E159" i="14" l="1"/>
  <c r="G157" i="12"/>
  <c r="E158" i="12"/>
  <c r="F158" i="12" s="1"/>
  <c r="F159" i="8"/>
  <c r="G159" i="8" s="1"/>
  <c r="E160" i="8"/>
  <c r="H159" i="14" l="1"/>
  <c r="F159" i="14" s="1"/>
  <c r="G159" i="14" s="1"/>
  <c r="E160" i="14"/>
  <c r="H160" i="14" s="1"/>
  <c r="F160" i="14" s="1"/>
  <c r="G160" i="14" s="1"/>
  <c r="G158" i="12"/>
  <c r="E159" i="12"/>
  <c r="F159" i="12" s="1"/>
  <c r="E161" i="8"/>
  <c r="F160" i="8"/>
  <c r="G160" i="8" s="1"/>
  <c r="E161" i="14" l="1"/>
  <c r="H161" i="14" s="1"/>
  <c r="F161" i="14" s="1"/>
  <c r="G161" i="14" s="1"/>
  <c r="G159" i="12"/>
  <c r="E160" i="12"/>
  <c r="F160" i="12" s="1"/>
  <c r="E162" i="8"/>
  <c r="F161" i="8"/>
  <c r="G161" i="8" s="1"/>
  <c r="E162" i="14" l="1"/>
  <c r="H162" i="14" s="1"/>
  <c r="F162" i="14" s="1"/>
  <c r="G162" i="14" s="1"/>
  <c r="G160" i="12"/>
  <c r="E161" i="12"/>
  <c r="F161" i="12" s="1"/>
  <c r="E163" i="8"/>
  <c r="F162" i="8"/>
  <c r="G162" i="8" s="1"/>
  <c r="E163" i="14" l="1"/>
  <c r="H163" i="14" s="1"/>
  <c r="F163" i="14" s="1"/>
  <c r="G163" i="14" s="1"/>
  <c r="G161" i="12"/>
  <c r="E162" i="12"/>
  <c r="F162" i="12" s="1"/>
  <c r="E164" i="8"/>
  <c r="F163" i="8"/>
  <c r="G163" i="8" s="1"/>
  <c r="E164" i="14" l="1"/>
  <c r="G162" i="12"/>
  <c r="E163" i="12"/>
  <c r="F163" i="12" s="1"/>
  <c r="E165" i="8"/>
  <c r="F164" i="8"/>
  <c r="G164" i="8" s="1"/>
  <c r="H164" i="14" l="1"/>
  <c r="F164" i="14" s="1"/>
  <c r="G164" i="14" s="1"/>
  <c r="E165" i="14"/>
  <c r="H165" i="14" s="1"/>
  <c r="F165" i="14" s="1"/>
  <c r="G165" i="14" s="1"/>
  <c r="G163" i="12"/>
  <c r="E164" i="12"/>
  <c r="F164" i="12" s="1"/>
  <c r="E166" i="8"/>
  <c r="F165" i="8"/>
  <c r="G165" i="8" s="1"/>
  <c r="E166" i="14" l="1"/>
  <c r="H166" i="14" s="1"/>
  <c r="F166" i="14" s="1"/>
  <c r="G166" i="14" s="1"/>
  <c r="G164" i="12"/>
  <c r="E165" i="12"/>
  <c r="F165" i="12" s="1"/>
  <c r="E167" i="8"/>
  <c r="F166" i="8"/>
  <c r="G166" i="8" s="1"/>
  <c r="E167" i="14" l="1"/>
  <c r="H167" i="14" s="1"/>
  <c r="F167" i="14" s="1"/>
  <c r="G167" i="14" s="1"/>
  <c r="G165" i="12"/>
  <c r="E166" i="12"/>
  <c r="F166" i="12" s="1"/>
  <c r="F167" i="8"/>
  <c r="G167" i="8" s="1"/>
  <c r="E168" i="8"/>
  <c r="E168" i="14" l="1"/>
  <c r="H168" i="14" s="1"/>
  <c r="F168" i="14" s="1"/>
  <c r="G168" i="14" s="1"/>
  <c r="G166" i="12"/>
  <c r="E167" i="12"/>
  <c r="F167" i="12" s="1"/>
  <c r="F168" i="8"/>
  <c r="G168" i="8" s="1"/>
  <c r="E169" i="8"/>
  <c r="E169" i="14" l="1"/>
  <c r="G167" i="12"/>
  <c r="E168" i="12"/>
  <c r="F168" i="12" s="1"/>
  <c r="F169" i="8"/>
  <c r="G169" i="8" s="1"/>
  <c r="E170" i="8"/>
  <c r="H169" i="14" l="1"/>
  <c r="F169" i="14" s="1"/>
  <c r="G169" i="14" s="1"/>
  <c r="E170" i="14"/>
  <c r="H170" i="14" s="1"/>
  <c r="F170" i="14" s="1"/>
  <c r="G170" i="14" s="1"/>
  <c r="G168" i="12"/>
  <c r="E169" i="12"/>
  <c r="F169" i="12" s="1"/>
  <c r="F170" i="8"/>
  <c r="G170" i="8" s="1"/>
  <c r="E171" i="8"/>
  <c r="E171" i="14" l="1"/>
  <c r="G169" i="12"/>
  <c r="E170" i="12"/>
  <c r="F170" i="12" s="1"/>
  <c r="F171" i="8"/>
  <c r="G171" i="8" s="1"/>
  <c r="E172" i="8"/>
  <c r="H171" i="14" l="1"/>
  <c r="F171" i="14" s="1"/>
  <c r="G171" i="14" s="1"/>
  <c r="E172" i="14"/>
  <c r="H172" i="14" s="1"/>
  <c r="F172" i="14" s="1"/>
  <c r="G172" i="14" s="1"/>
  <c r="G170" i="12"/>
  <c r="E171" i="12"/>
  <c r="F171" i="12" s="1"/>
  <c r="E173" i="8"/>
  <c r="F172" i="8"/>
  <c r="G172" i="8" s="1"/>
  <c r="E173" i="14" l="1"/>
  <c r="G171" i="12"/>
  <c r="E172" i="12"/>
  <c r="F172" i="12" s="1"/>
  <c r="E174" i="8"/>
  <c r="F173" i="8"/>
  <c r="G173" i="8" s="1"/>
  <c r="H173" i="14" l="1"/>
  <c r="F173" i="14" s="1"/>
  <c r="G173" i="14" s="1"/>
  <c r="E174" i="14"/>
  <c r="H174" i="14" s="1"/>
  <c r="F174" i="14" s="1"/>
  <c r="G174" i="14" s="1"/>
  <c r="G172" i="12"/>
  <c r="E173" i="12"/>
  <c r="F173" i="12" s="1"/>
  <c r="E175" i="8"/>
  <c r="F174" i="8"/>
  <c r="G174" i="8" s="1"/>
  <c r="E175" i="14" l="1"/>
  <c r="H175" i="14" s="1"/>
  <c r="F175" i="14" s="1"/>
  <c r="G175" i="14" s="1"/>
  <c r="G173" i="12"/>
  <c r="E174" i="12"/>
  <c r="F174" i="12" s="1"/>
  <c r="E176" i="8"/>
  <c r="F175" i="8"/>
  <c r="G175" i="8" s="1"/>
  <c r="E176" i="14" l="1"/>
  <c r="G174" i="12"/>
  <c r="E175" i="12"/>
  <c r="F175" i="12" s="1"/>
  <c r="E177" i="8"/>
  <c r="F176" i="8"/>
  <c r="G176" i="8" s="1"/>
  <c r="H176" i="14" l="1"/>
  <c r="F176" i="14" s="1"/>
  <c r="G176" i="14" s="1"/>
  <c r="E177" i="14"/>
  <c r="H177" i="14" s="1"/>
  <c r="F177" i="14" s="1"/>
  <c r="G177" i="14" s="1"/>
  <c r="G175" i="12"/>
  <c r="E176" i="12"/>
  <c r="F176" i="12" s="1"/>
  <c r="E178" i="8"/>
  <c r="F177" i="8"/>
  <c r="G177" i="8" s="1"/>
  <c r="E178" i="14" l="1"/>
  <c r="H178" i="14" s="1"/>
  <c r="F178" i="14" s="1"/>
  <c r="G178" i="14" s="1"/>
  <c r="G176" i="12"/>
  <c r="E177" i="12"/>
  <c r="F177" i="12" s="1"/>
  <c r="E179" i="8"/>
  <c r="F178" i="8"/>
  <c r="G178" i="8" s="1"/>
  <c r="E179" i="14" l="1"/>
  <c r="H179" i="14" s="1"/>
  <c r="F179" i="14" s="1"/>
  <c r="G179" i="14" s="1"/>
  <c r="G177" i="12"/>
  <c r="E178" i="12"/>
  <c r="F178" i="12" s="1"/>
  <c r="E180" i="8"/>
  <c r="F179" i="8"/>
  <c r="G179" i="8" s="1"/>
  <c r="E180" i="14" l="1"/>
  <c r="H180" i="14" s="1"/>
  <c r="F180" i="14" s="1"/>
  <c r="G180" i="14" s="1"/>
  <c r="G178" i="12"/>
  <c r="E179" i="12"/>
  <c r="F179" i="12" s="1"/>
  <c r="F180" i="8"/>
  <c r="G180" i="8" s="1"/>
  <c r="E181" i="8"/>
  <c r="E181" i="14" l="1"/>
  <c r="G179" i="12"/>
  <c r="E180" i="12"/>
  <c r="F180" i="12" s="1"/>
  <c r="F181" i="8"/>
  <c r="G181" i="8" s="1"/>
  <c r="E182" i="8"/>
  <c r="H181" i="14" l="1"/>
  <c r="F181" i="14" s="1"/>
  <c r="G181" i="14" s="1"/>
  <c r="E182" i="14"/>
  <c r="H182" i="14" s="1"/>
  <c r="F182" i="14" s="1"/>
  <c r="G182" i="14" s="1"/>
  <c r="G180" i="12"/>
  <c r="E181" i="12"/>
  <c r="F181" i="12" s="1"/>
  <c r="F182" i="8"/>
  <c r="G182" i="8" s="1"/>
  <c r="E183" i="8"/>
  <c r="E183" i="14" l="1"/>
  <c r="G181" i="12"/>
  <c r="E182" i="12"/>
  <c r="F182" i="12" s="1"/>
  <c r="F183" i="8"/>
  <c r="G183" i="8" s="1"/>
  <c r="E184" i="8"/>
  <c r="H183" i="14" l="1"/>
  <c r="F183" i="14" s="1"/>
  <c r="G183" i="14" s="1"/>
  <c r="E184" i="14"/>
  <c r="H184" i="14" s="1"/>
  <c r="F184" i="14" s="1"/>
  <c r="G184" i="14" s="1"/>
  <c r="G182" i="12"/>
  <c r="E183" i="12"/>
  <c r="F183" i="12" s="1"/>
  <c r="F184" i="8"/>
  <c r="G184" i="8" s="1"/>
  <c r="E185" i="8"/>
  <c r="E185" i="14" l="1"/>
  <c r="H185" i="14" s="1"/>
  <c r="F185" i="14" s="1"/>
  <c r="G185" i="14" s="1"/>
  <c r="G183" i="12"/>
  <c r="E184" i="12"/>
  <c r="F184" i="12" s="1"/>
  <c r="E186" i="8"/>
  <c r="F185" i="8"/>
  <c r="G185" i="8" s="1"/>
  <c r="E186" i="14" l="1"/>
  <c r="H186" i="14" s="1"/>
  <c r="F186" i="14" s="1"/>
  <c r="G186" i="14" s="1"/>
  <c r="G184" i="12"/>
  <c r="E185" i="12"/>
  <c r="F185" i="12" s="1"/>
  <c r="E187" i="8"/>
  <c r="F186" i="8"/>
  <c r="G186" i="8" s="1"/>
  <c r="E187" i="14" l="1"/>
  <c r="H187" i="14" s="1"/>
  <c r="F187" i="14" s="1"/>
  <c r="G187" i="14" s="1"/>
  <c r="G185" i="12"/>
  <c r="E186" i="12"/>
  <c r="F186" i="12" s="1"/>
  <c r="E188" i="8"/>
  <c r="F187" i="8"/>
  <c r="G187" i="8" s="1"/>
  <c r="E188" i="14" l="1"/>
  <c r="G186" i="12"/>
  <c r="E187" i="12"/>
  <c r="F187" i="12" s="1"/>
  <c r="E189" i="8"/>
  <c r="F188" i="8"/>
  <c r="G188" i="8" s="1"/>
  <c r="H188" i="14" l="1"/>
  <c r="F188" i="14" s="1"/>
  <c r="G188" i="14" s="1"/>
  <c r="E189" i="14"/>
  <c r="H189" i="14" s="1"/>
  <c r="F189" i="14" s="1"/>
  <c r="G189" i="14" s="1"/>
  <c r="G187" i="12"/>
  <c r="E188" i="12"/>
  <c r="F188" i="12" s="1"/>
  <c r="E190" i="8"/>
  <c r="F189" i="8"/>
  <c r="G189" i="8" s="1"/>
  <c r="E190" i="14" l="1"/>
  <c r="H190" i="14" s="1"/>
  <c r="F190" i="14" s="1"/>
  <c r="G190" i="14" s="1"/>
  <c r="G188" i="12"/>
  <c r="E189" i="12"/>
  <c r="F189" i="12" s="1"/>
  <c r="E191" i="8"/>
  <c r="F190" i="8"/>
  <c r="G190" i="8" s="1"/>
  <c r="E191" i="14" l="1"/>
  <c r="H191" i="14" s="1"/>
  <c r="F191" i="14" s="1"/>
  <c r="G191" i="14" s="1"/>
  <c r="G189" i="12"/>
  <c r="E190" i="12"/>
  <c r="F190" i="12" s="1"/>
  <c r="E192" i="8"/>
  <c r="F191" i="8"/>
  <c r="G191" i="8" s="1"/>
  <c r="E192" i="14" l="1"/>
  <c r="H192" i="14" s="1"/>
  <c r="F192" i="14" s="1"/>
  <c r="G192" i="14" s="1"/>
  <c r="G190" i="12"/>
  <c r="E191" i="12"/>
  <c r="F191" i="12" s="1"/>
  <c r="F192" i="8"/>
  <c r="G192" i="8" s="1"/>
  <c r="E193" i="8"/>
  <c r="E193" i="14" l="1"/>
  <c r="G191" i="12"/>
  <c r="E192" i="12"/>
  <c r="F192" i="12" s="1"/>
  <c r="F193" i="8"/>
  <c r="G193" i="8" s="1"/>
  <c r="E194" i="8"/>
  <c r="H193" i="14" l="1"/>
  <c r="F193" i="14" s="1"/>
  <c r="G193" i="14" s="1"/>
  <c r="E194" i="14"/>
  <c r="H194" i="14" s="1"/>
  <c r="F194" i="14" s="1"/>
  <c r="G194" i="14" s="1"/>
  <c r="G192" i="12"/>
  <c r="E193" i="12"/>
  <c r="F193" i="12" s="1"/>
  <c r="F194" i="8"/>
  <c r="G194" i="8" s="1"/>
  <c r="E195" i="8"/>
  <c r="E195" i="14" l="1"/>
  <c r="H195" i="14" s="1"/>
  <c r="F195" i="14" s="1"/>
  <c r="G195" i="14" s="1"/>
  <c r="G193" i="12"/>
  <c r="E194" i="12"/>
  <c r="F194" i="12" s="1"/>
  <c r="F195" i="8"/>
  <c r="G195" i="8" s="1"/>
  <c r="E196" i="8"/>
  <c r="E196" i="14" l="1"/>
  <c r="H196" i="14" s="1"/>
  <c r="F196" i="14" s="1"/>
  <c r="G196" i="14" s="1"/>
  <c r="G194" i="12"/>
  <c r="E195" i="12"/>
  <c r="F195" i="12" s="1"/>
  <c r="E197" i="8"/>
  <c r="F196" i="8"/>
  <c r="G196" i="8" s="1"/>
  <c r="E197" i="14" l="1"/>
  <c r="H197" i="14" s="1"/>
  <c r="F197" i="14" s="1"/>
  <c r="G197" i="14" s="1"/>
  <c r="G195" i="12"/>
  <c r="E196" i="12"/>
  <c r="F196" i="12" s="1"/>
  <c r="E198" i="8"/>
  <c r="F197" i="8"/>
  <c r="G197" i="8" s="1"/>
  <c r="E198" i="14" l="1"/>
  <c r="H198" i="14" s="1"/>
  <c r="F198" i="14" s="1"/>
  <c r="G198" i="14" s="1"/>
  <c r="G196" i="12"/>
  <c r="E197" i="12"/>
  <c r="F197" i="12" s="1"/>
  <c r="E199" i="8"/>
  <c r="F198" i="8"/>
  <c r="G198" i="8" s="1"/>
  <c r="E199" i="14" l="1"/>
  <c r="G197" i="12"/>
  <c r="E198" i="12"/>
  <c r="F198" i="12" s="1"/>
  <c r="E200" i="8"/>
  <c r="F199" i="8"/>
  <c r="G199" i="8" s="1"/>
  <c r="H199" i="14" l="1"/>
  <c r="F199" i="14" s="1"/>
  <c r="G199" i="14" s="1"/>
  <c r="E200" i="14"/>
  <c r="G198" i="12"/>
  <c r="E199" i="12"/>
  <c r="F199" i="12" s="1"/>
  <c r="E201" i="8"/>
  <c r="F200" i="8"/>
  <c r="G200" i="8" s="1"/>
  <c r="H200" i="14" l="1"/>
  <c r="F200" i="14" s="1"/>
  <c r="G200" i="14" s="1"/>
  <c r="E201" i="14"/>
  <c r="H201" i="14" s="1"/>
  <c r="F201" i="14" s="1"/>
  <c r="G201" i="14" s="1"/>
  <c r="G199" i="12"/>
  <c r="E200" i="12"/>
  <c r="F200" i="12" s="1"/>
  <c r="E202" i="8"/>
  <c r="F201" i="8"/>
  <c r="G201" i="8" s="1"/>
  <c r="E202" i="14" l="1"/>
  <c r="H202" i="14" s="1"/>
  <c r="F202" i="14" s="1"/>
  <c r="G202" i="14" s="1"/>
  <c r="G200" i="12"/>
  <c r="E201" i="12"/>
  <c r="F201" i="12" s="1"/>
  <c r="E203" i="8"/>
  <c r="F202" i="8"/>
  <c r="G202" i="8" s="1"/>
  <c r="E203" i="14" l="1"/>
  <c r="H203" i="14" s="1"/>
  <c r="F203" i="14" s="1"/>
  <c r="G203" i="14" s="1"/>
  <c r="G201" i="12"/>
  <c r="E202" i="12"/>
  <c r="F202" i="12" s="1"/>
  <c r="F203" i="8"/>
  <c r="G203" i="8" s="1"/>
  <c r="G202" i="12" l="1"/>
  <c r="E203" i="12"/>
  <c r="F203" i="12" s="1"/>
  <c r="G203" i="12" l="1"/>
</calcChain>
</file>

<file path=xl/sharedStrings.xml><?xml version="1.0" encoding="utf-8"?>
<sst xmlns="http://schemas.openxmlformats.org/spreadsheetml/2006/main" count="298" uniqueCount="248">
  <si>
    <t>Di</t>
    <phoneticPr fontId="3" type="noConversion"/>
  </si>
  <si>
    <t>De</t>
    <phoneticPr fontId="3" type="noConversion"/>
  </si>
  <si>
    <t>L</t>
    <phoneticPr fontId="3" type="noConversion"/>
  </si>
  <si>
    <t>Zm</t>
    <phoneticPr fontId="3" type="noConversion"/>
  </si>
  <si>
    <t>Cubic 형</t>
    <phoneticPr fontId="3" type="noConversion"/>
  </si>
  <si>
    <t>x</t>
    <phoneticPr fontId="3" type="noConversion"/>
  </si>
  <si>
    <t>Morel</t>
    <phoneticPr fontId="3" type="noConversion"/>
  </si>
  <si>
    <t>팀장님</t>
    <phoneticPr fontId="3" type="noConversion"/>
  </si>
  <si>
    <t>Cosine</t>
    <phoneticPr fontId="3" type="noConversion"/>
  </si>
  <si>
    <t>Cubic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</si>
  <si>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</si>
  <si>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</si>
  <si>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</si>
  <si>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</si>
  <si>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</si>
  <si>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2-Cubic</t>
    <phoneticPr fontId="3" type="noConversion"/>
  </si>
  <si>
    <t>(1/3200)^2)*((0/6400)^3)</t>
    <phoneticPr fontId="3" type="noConversion"/>
  </si>
  <si>
    <t>a^3</t>
    <phoneticPr fontId="3" type="noConversion"/>
  </si>
  <si>
    <t>f(x)</t>
    <phoneticPr fontId="3" type="noConversion"/>
  </si>
  <si>
    <t>=</t>
    <phoneticPr fontId="3" type="noConversion"/>
  </si>
  <si>
    <t>(-1)</t>
    <phoneticPr fontId="3" type="noConversion"/>
  </si>
  <si>
    <t>f'(x)</t>
    <phoneticPr fontId="3" type="noConversion"/>
  </si>
  <si>
    <t>f''(x)</t>
    <phoneticPr fontId="3" type="noConversion"/>
  </si>
  <si>
    <t>^2</t>
    <phoneticPr fontId="3" type="noConversion"/>
  </si>
  <si>
    <t>^3</t>
    <phoneticPr fontId="3" type="noConversion"/>
  </si>
  <si>
    <t>^4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</si>
  <si>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</si>
  <si>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</si>
  <si>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</si>
  <si>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X</t>
    <phoneticPr fontId="3" type="noConversion"/>
  </si>
  <si>
    <t>F</t>
    <phoneticPr fontId="3" type="noConversion"/>
  </si>
  <si>
    <t>Xo</t>
    <phoneticPr fontId="3" type="noConversion"/>
  </si>
  <si>
    <t>x2C+x3D+x4E = x</t>
    <phoneticPr fontId="3" type="noConversion"/>
  </si>
  <si>
    <t>2xC+3x2D+4x3E = 0</t>
    <phoneticPr fontId="3" type="noConversion"/>
  </si>
  <si>
    <t>2C+6xD+12x2E=0</t>
    <phoneticPr fontId="3" type="noConversion"/>
  </si>
  <si>
    <t>4th-order</t>
    <phoneticPr fontId="3" type="noConversion"/>
  </si>
  <si>
    <t>5th-order</t>
    <phoneticPr fontId="3" type="noConversion"/>
  </si>
  <si>
    <t>5th-order</t>
  </si>
  <si>
    <t>Xm</t>
    <phoneticPr fontId="3" type="noConversion"/>
  </si>
  <si>
    <t>X/L =</t>
    <phoneticPr fontId="3" type="noConversion"/>
  </si>
  <si>
    <t>ξ</t>
    <phoneticPr fontId="3" type="noConversion"/>
  </si>
  <si>
    <t>h</t>
  </si>
  <si>
    <t>h</t>
    <phoneticPr fontId="3" type="noConversion"/>
  </si>
  <si>
    <t>Hi</t>
    <phoneticPr fontId="3" type="noConversion"/>
  </si>
  <si>
    <t>Ho</t>
    <phoneticPr fontId="3" type="noConversion"/>
  </si>
  <si>
    <t>X</t>
  </si>
  <si>
    <t>SPLINE 0,3000</t>
  </si>
  <si>
    <t>SPLINE 30,2999.9975187125</t>
  </si>
  <si>
    <t>SPLINE 60,2999.9802988</t>
  </si>
  <si>
    <t>SPLINE 90,2999.9340096375</t>
  </si>
  <si>
    <t>SPLINE 120,2999.8447616</t>
  </si>
  <si>
    <t>SPLINE 150,2999.6991015625</t>
  </si>
  <si>
    <t>SPLINE 180,2999.4840084</t>
  </si>
  <si>
    <t>SPLINE 210,2999.1868884875</t>
  </si>
  <si>
    <t>SPLINE 240,2998.7955712</t>
  </si>
  <si>
    <t>SPLINE 270,2998.2983044125</t>
  </si>
  <si>
    <t>SPLINE 300,2997.68375</t>
  </si>
  <si>
    <t>SPLINE 330,2996.9409793375</t>
  </si>
  <si>
    <t>SPLINE 360,2996.0594688</t>
  </si>
  <si>
    <t>SPLINE 390,2995.0290952625</t>
  </si>
  <si>
    <t>SPLINE 420,2993.8401316</t>
  </si>
  <si>
    <t>SPLINE 450,2992.4832421875</t>
  </si>
  <si>
    <t>SPLINE 480,2990.9494784</t>
  </si>
  <si>
    <t>SPLINE 510,2989.2302741125</t>
  </si>
  <si>
    <t>SPLINE 540,2987.3174412</t>
  </si>
  <si>
    <t>SPLINE 570,2985.2031650375</t>
  </si>
  <si>
    <t>SPLINE 600,2982.88</t>
  </si>
  <si>
    <t>SPLINE 630,2980.3408649625</t>
  </si>
  <si>
    <t>SPLINE 660,2977.5790388</t>
  </si>
  <si>
    <t>SPLINE 690,2974.5881558875</t>
  </si>
  <si>
    <t>SPLINE 720,2971.3622016</t>
  </si>
  <si>
    <t>SPLINE 750,2967.8955078125</t>
  </si>
  <si>
    <t>SPLINE 780,2964.1827484</t>
  </si>
  <si>
    <t>SPLINE 810,2960.2189347375</t>
  </si>
  <si>
    <t>SPLINE 840,2955.9994112</t>
  </si>
  <si>
    <t>SPLINE 870,2951.5198506625</t>
  </si>
  <si>
    <t>SPLINE 900,2946.77625</t>
  </si>
  <si>
    <t>SPLINE 930,2941.7649255875</t>
  </si>
  <si>
    <t>SPLINE 960,2936.4825088</t>
  </si>
  <si>
    <t>SPLINE 990,2930.9259415125</t>
  </si>
  <si>
    <t>SPLINE 1020,2925.0924716</t>
  </si>
  <si>
    <t>SPLINE 1050,2918.9796484375</t>
  </si>
  <si>
    <t>SPLINE 1080,2912.5853184</t>
  </si>
  <si>
    <t>SPLINE 1110,2905.9076203625</t>
  </si>
  <si>
    <t>SPLINE 1140,2898.9449812</t>
  </si>
  <si>
    <t>SPLINE 1170,2891.6961112875</t>
  </si>
  <si>
    <t>SPLINE 1200,2884.16</t>
  </si>
  <si>
    <t>SPLINE 1230,2876.3359112125</t>
  </si>
  <si>
    <t>SPLINE 1260,2868.2233788</t>
  </si>
  <si>
    <t>SPLINE 1290,2859.8222021375</t>
  </si>
  <si>
    <t>SPLINE 1320,2851.1324416</t>
  </si>
  <si>
    <t>SPLINE 1350,2842.1544140625</t>
  </si>
  <si>
    <t>SPLINE 1380,2832.8886884</t>
  </si>
  <si>
    <t>SPLINE 1410,2823.3360809875</t>
  </si>
  <si>
    <t>SPLINE 1440,2813.4976512</t>
  </si>
  <si>
    <t>SPLINE 1470,2803.3746969125</t>
  </si>
  <si>
    <t>SPLINE 1500,2792.96875</t>
  </si>
  <si>
    <t>SPLINE 1530,2782.2815718375</t>
  </si>
  <si>
    <t>SPLINE 1560,2771.3151488</t>
  </si>
  <si>
    <t>SPLINE 1590,2760.0716877625</t>
  </si>
  <si>
    <t>SPLINE 1620,2748.5536116</t>
  </si>
  <si>
    <t>SPLINE 1650,2736.7635546875</t>
  </si>
  <si>
    <t>SPLINE 1680,2724.7043584</t>
  </si>
  <si>
    <t>SPLINE 1710,2712.3790666125</t>
  </si>
  <si>
    <t>SPLINE 1740,2699.7909212</t>
  </si>
  <si>
    <t>SPLINE 1770,2686.9433575375</t>
  </si>
  <si>
    <t>SPLINE 1800,2673.84</t>
  </si>
  <si>
    <t>SPLINE 1830,2660.4846574625</t>
  </si>
  <si>
    <t>SPLINE 1860,2646.8813188</t>
  </si>
  <si>
    <t>SPLINE 1890,2633.0341483875</t>
  </si>
  <si>
    <t>SPLINE 1920,2618.9474816</t>
  </si>
  <si>
    <t>SPLINE 1950,2604.6258203125</t>
  </si>
  <si>
    <t>SPLINE 1980,2590.0738284</t>
  </si>
  <si>
    <t>SPLINE 2010,2575.2963272375</t>
  </si>
  <si>
    <t>SPLINE 2040,2560.2982912</t>
  </si>
  <si>
    <t>SPLINE 2070,2545.0848431625</t>
  </si>
  <si>
    <t>SPLINE 2100,2529.66125</t>
  </si>
  <si>
    <t>SPLINE 2130,2514.0329180875</t>
  </si>
  <si>
    <t>SPLINE 2160,2498.2053888</t>
  </si>
  <si>
    <t>SPLINE 2190,2482.1843340125</t>
  </si>
  <si>
    <t>SPLINE 2220,2465.9755516</t>
  </si>
  <si>
    <t>SPLINE 2250,2449.5849609375</t>
  </si>
  <si>
    <t>SPLINE 2280,2433.0185984</t>
  </si>
  <si>
    <t>SPLINE 2310,2416.2826128625</t>
  </si>
  <si>
    <t>SPLINE 2340,2399.3832612</t>
  </si>
  <si>
    <t>SPLINE 2370,2382.3269037875</t>
  </si>
  <si>
    <t>SPLINE 2400,2365.12</t>
  </si>
  <si>
    <t>SPLINE 2430,2347.7691037125</t>
  </si>
  <si>
    <t>SPLINE 2460,2330.2808588</t>
  </si>
  <si>
    <t>SPLINE 2490,2312.6619946375</t>
  </si>
  <si>
    <t>SPLINE 2520,2294.9193216</t>
  </si>
  <si>
    <t>SPLINE 2550,2277.0597265625</t>
  </si>
  <si>
    <t>SPLINE 2580,2259.0901684</t>
  </si>
  <si>
    <t>SPLINE 2610,2241.0176734875</t>
  </si>
  <si>
    <t>SPLINE 2640,2222.8493312</t>
  </si>
  <si>
    <t>SPLINE 2670,2204.5922894125</t>
  </si>
  <si>
    <t>SPLINE 2700,2186.25375</t>
  </si>
  <si>
    <t>SPLINE 2730,2167.8409643375</t>
  </si>
  <si>
    <t>SPLINE 2760,2149.3612288</t>
  </si>
  <si>
    <t>SPLINE 2790,2130.8218802625</t>
  </si>
  <si>
    <t>SPLINE 2820,2112.2302916</t>
  </si>
  <si>
    <t>SPLINE 2850,2093.5938671875</t>
  </si>
  <si>
    <t>SPLINE 2880,2074.9200384</t>
  </si>
  <si>
    <t>SPLINE 2910,2056.2162591125</t>
  </si>
  <si>
    <t>SPLINE 2940,2037.4900012</t>
  </si>
  <si>
    <t>SPLINE 2970,2018.7487500375</t>
  </si>
  <si>
    <t>SPLINE 3000,2000</t>
  </si>
  <si>
    <t>SPLINE 3030,1981.2512499625</t>
  </si>
  <si>
    <t>SPLINE 3060,1962.5099988</t>
  </si>
  <si>
    <t>SPLINE 3090,1943.7837408875</t>
  </si>
  <si>
    <t>SPLINE 3120,1925.0799616</t>
  </si>
  <si>
    <t>SPLINE 3150,1906.4061328125</t>
  </si>
  <si>
    <t>SPLINE 3180,1887.7697084</t>
  </si>
  <si>
    <t>SPLINE 3210,1869.1781197375</t>
  </si>
  <si>
    <t>SPLINE 3240,1850.6387712</t>
  </si>
  <si>
    <t>SPLINE 3270,1832.1590356625</t>
  </si>
  <si>
    <t>SPLINE 3300,1813.74625</t>
  </si>
  <si>
    <t>SPLINE 3330,1795.4077105875</t>
  </si>
  <si>
    <t>SPLINE 3360,1777.1506688</t>
  </si>
  <si>
    <t>SPLINE 3390,1758.9823265125</t>
  </si>
  <si>
    <t>SPLINE 3420,1740.9098316</t>
  </si>
  <si>
    <t>SPLINE 3450,1722.9402734375</t>
  </si>
  <si>
    <t>SPLINE 3480,1705.0806784</t>
  </si>
  <si>
    <t>SPLINE 3510,1687.3380053625</t>
  </si>
  <si>
    <t>SPLINE 3540,1669.7191412</t>
  </si>
  <si>
    <t>SPLINE 3570,1652.2308962875</t>
  </si>
  <si>
    <t>SPLINE 3600,1634.88</t>
  </si>
  <si>
    <t>SPLINE 3630,1617.6730962125</t>
  </si>
  <si>
    <t>SPLINE 3660,1600.6167388</t>
  </si>
  <si>
    <t>SPLINE 3690,1583.7173871375</t>
  </si>
  <si>
    <t>SPLINE 3720,1566.9814016</t>
  </si>
  <si>
    <t>SPLINE 3750,1550.4150390625</t>
  </si>
  <si>
    <t>SPLINE 3780,1534.0244484</t>
  </si>
  <si>
    <t>SPLINE 3810,1517.8156659875</t>
  </si>
  <si>
    <t>SPLINE 3840,1501.7946112</t>
  </si>
  <si>
    <t>SPLINE 3870,1485.9670819125</t>
  </si>
  <si>
    <t>SPLINE 3900,1470.33875</t>
  </si>
  <si>
    <t>SPLINE 3930,1454.9151568375</t>
  </si>
  <si>
    <t>SPLINE 3960,1439.7017088</t>
  </si>
  <si>
    <t>SPLINE 3990,1424.7036727625</t>
  </si>
  <si>
    <t>SPLINE 4020,1409.9261716</t>
  </si>
  <si>
    <t>SPLINE 4050,1395.3741796875</t>
  </si>
  <si>
    <t>SPLINE 4080,1381.0525184</t>
  </si>
  <si>
    <t>SPLINE 4110,1366.9658516125</t>
  </si>
  <si>
    <t>SPLINE 4140,1353.1186812</t>
  </si>
  <si>
    <t>SPLINE 4170,1339.5153425375</t>
  </si>
  <si>
    <t>SPLINE 4200,1326.16</t>
  </si>
  <si>
    <t>SPLINE 4230,1313.0566424625</t>
  </si>
  <si>
    <t>SPLINE 4260,1300.2090788</t>
  </si>
  <si>
    <t>SPLINE 4290,1287.6209333875</t>
  </si>
  <si>
    <t>SPLINE 4320,1275.2956416</t>
  </si>
  <si>
    <t>SPLINE 4350,1263.2364453125</t>
  </si>
  <si>
    <t>SPLINE 4380,1251.4463884</t>
  </si>
  <si>
    <t>SPLINE 4410,1239.9283122375</t>
  </si>
  <si>
    <t>SPLINE 4440,1228.6848512</t>
  </si>
  <si>
    <t>SPLINE 4470,1217.7184281625</t>
  </si>
  <si>
    <t>SPLINE 4500,1207.03125</t>
  </si>
  <si>
    <t>SPLINE 4530,1196.6253030875</t>
  </si>
  <si>
    <t>SPLINE 4560,1186.5023488</t>
  </si>
  <si>
    <t>SPLINE 4590,1176.6639190125</t>
  </si>
  <si>
    <t>SPLINE 4620,1167.1113116</t>
  </si>
  <si>
    <t>SPLINE 4650,1157.8455859375</t>
  </si>
  <si>
    <t>SPLINE 4680,1148.8675584</t>
  </si>
  <si>
    <t>SPLINE 4710,1140.1777978625</t>
  </si>
  <si>
    <t>SPLINE 4740,1131.7766212</t>
  </si>
  <si>
    <t>SPLINE 4770,1123.6640887875</t>
  </si>
  <si>
    <t>SPLINE 4800,1115.84</t>
  </si>
  <si>
    <t>SPLINE 4830,1108.3038887125</t>
  </si>
  <si>
    <t>SPLINE 4860,1101.0550188</t>
  </si>
  <si>
    <t>SPLINE 4890,1094.0923796375</t>
  </si>
  <si>
    <t>SPLINE 4920,1087.4146816</t>
  </si>
  <si>
    <t>SPLINE 4950,1081.0203515625</t>
  </si>
  <si>
    <t>SPLINE 4980,1074.9075284</t>
  </si>
  <si>
    <t>SPLINE 5010,1069.0740584875</t>
  </si>
  <si>
    <t>SPLINE 5040,1063.5174912</t>
  </si>
  <si>
    <t>SPLINE 5070,1058.2350744125</t>
  </si>
  <si>
    <t>SPLINE 5100,1053.22375</t>
  </si>
  <si>
    <t>SPLINE 5130,1048.4801493375</t>
  </si>
  <si>
    <t>SPLINE 5160,1044.0005888</t>
  </si>
  <si>
    <t>SPLINE 5190,1039.7810652625</t>
  </si>
  <si>
    <t>SPLINE 5220,1035.8172516</t>
  </si>
  <si>
    <t>SPLINE 5250,1032.1044921875</t>
  </si>
  <si>
    <t>SPLINE 5280,1028.6377984</t>
  </si>
  <si>
    <t>SPLINE 5310,1025.4118441125</t>
  </si>
  <si>
    <t>SPLINE 5340,1022.4209612</t>
  </si>
  <si>
    <t>SPLINE 5370,1019.6591350375</t>
  </si>
  <si>
    <t>SPLINE 5400,1017.12</t>
  </si>
  <si>
    <t>SPLINE 5430,1014.7968349625</t>
  </si>
  <si>
    <t>SPLINE 5460,1012.6825588</t>
  </si>
  <si>
    <t>SPLINE 5490,1010.7697258875</t>
  </si>
  <si>
    <t>SPLINE 5520,1009.0505216</t>
  </si>
  <si>
    <t>SPLINE 5550,1007.5167578125</t>
  </si>
  <si>
    <t>SPLINE 5580,1006.1598684</t>
  </si>
  <si>
    <t>SPLINE 5610,1004.9709047375</t>
  </si>
  <si>
    <t>SPLINE 5640,1003.9405312</t>
  </si>
  <si>
    <t>SPLINE 5670,1003.0590206625</t>
  </si>
  <si>
    <t>SPLINE 5700,1002.31625</t>
  </si>
  <si>
    <t>SPLINE 5730,1001.7016955875</t>
  </si>
  <si>
    <t>SPLINE 5760,1001.2044288</t>
  </si>
  <si>
    <t>SPLINE 5790,1000.8131115125</t>
  </si>
  <si>
    <t>SPLINE 5820,1000.5159916</t>
  </si>
  <si>
    <t>SPLINE 5850,1000.3008984375</t>
  </si>
  <si>
    <t>SPLINE 5880,1000.1552384</t>
  </si>
  <si>
    <t>SPLINE 5910,1000.0659903625</t>
  </si>
  <si>
    <t>SPLINE 5940,1000.0197012</t>
  </si>
  <si>
    <t>SPLINE 5970,1000.0024812875</t>
  </si>
  <si>
    <t>SPLINE 6000,1000</t>
  </si>
  <si>
    <t>!@10qpalzm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</si>
</sst>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00000E+00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92D050"/>
      <name val="맑은 고딕"/>
      <family val="2"/>
      <charset val="129"/>
      <scheme val="minor"/>
    </font>
    <font>
      <sz val="11"/>
      <color rgb="FFFFFF00"/>
      <name val="맑은 고딕"/>
      <family val="2"/>
      <charset val="129"/>
      <scheme val="minor"/>
    </font>
    <font>
      <sz val="11"/>
      <color theme="2"/>
      <name val="맑은 고딕"/>
      <family val="3"/>
      <charset val="129"/>
      <scheme val="minor"/>
    </font>
    <font>
      <sz val="11"/>
      <color theme="1"/>
      <name val="Calibri"/>
      <family val="3"/>
      <charset val="161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1" fillId="0" borderId="0" xfId="0" applyFont="1">
      <alignment vertical="center"/>
    </xf>
    <xf numFmtId="0" fontId="7" fillId="0" borderId="0" xfId="0" applyFont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12</xdr:row>
      <xdr:rowOff>197125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4C828AB-C758-4EFA-A96E-FFBA77955118}"/>
            </a:ext>
          </a:extLst>
        </xdr:cNvPr>
        <xdr:cNvSpPr txBox="1"/>
      </xdr:nvSpPr>
      <xdr:spPr>
        <a:xfrm>
          <a:off x="7249767" y="26819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110158</xdr:colOff>
      <xdr:row>3</xdr:row>
      <xdr:rowOff>122581</xdr:rowOff>
    </xdr:from>
    <xdr:ext cx="1832489" cy="2868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8A1933D-52EB-4E8B-B2B4-7A77B031B4DA}"/>
                </a:ext>
              </a:extLst>
            </xdr:cNvPr>
            <xdr:cNvSpPr txBox="1"/>
          </xdr:nvSpPr>
          <xdr:spPr>
            <a:xfrm>
              <a:off x="110158" y="743777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d>
                    <m:d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𝐷𝑖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𝐷𝑒</m:t>
                      </m:r>
                    </m:e>
                  </m:d>
                  <m:r>
                    <a:rPr lang="en-US" altLang="ko-KR" sz="1100" b="0" i="1">
                      <a:latin typeface="Cambria Math" panose="02040503050406030204" pitchFamily="18" charset="0"/>
                    </a:rPr>
                    <m:t>[1−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𝑋𝑚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𝑥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</m:oMath>
              </a14:m>
              <a:r>
                <a:rPr lang="en-US" altLang="ko-KR" sz="1100"/>
                <a:t>]+De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8A1933D-52EB-4E8B-B2B4-7A77B031B4DA}"/>
                </a:ext>
              </a:extLst>
            </xdr:cNvPr>
            <xdr:cNvSpPr txBox="1"/>
          </xdr:nvSpPr>
          <xdr:spPr>
            <a:xfrm>
              <a:off x="110158" y="743777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(𝐷𝑖−𝐷𝑒)[1−(1/𝑋𝑚)^2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(𝑥/𝐿)^3</a:t>
              </a:r>
              <a:r>
                <a:rPr lang="en-US" altLang="ko-KR" sz="1100"/>
                <a:t>]+De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12</xdr:row>
      <xdr:rowOff>197125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56543-F542-418F-BD33-81DF08D01C90}"/>
            </a:ext>
          </a:extLst>
        </xdr:cNvPr>
        <xdr:cNvSpPr txBox="1"/>
      </xdr:nvSpPr>
      <xdr:spPr>
        <a:xfrm>
          <a:off x="6753225" y="27117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110158</xdr:colOff>
      <xdr:row>3</xdr:row>
      <xdr:rowOff>122581</xdr:rowOff>
    </xdr:from>
    <xdr:ext cx="1832489" cy="2868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D751C6E-C779-4A7E-A4BE-E309167E7F3A}"/>
                </a:ext>
              </a:extLst>
            </xdr:cNvPr>
            <xdr:cNvSpPr txBox="1"/>
          </xdr:nvSpPr>
          <xdr:spPr>
            <a:xfrm>
              <a:off x="110158" y="751231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d>
                    <m:d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𝐷𝑖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𝐷𝑒</m:t>
                      </m:r>
                    </m:e>
                  </m:d>
                  <m:r>
                    <a:rPr lang="en-US" altLang="ko-KR" sz="1100" b="0" i="1">
                      <a:latin typeface="Cambria Math" panose="02040503050406030204" pitchFamily="18" charset="0"/>
                    </a:rPr>
                    <m:t>[1−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𝑋𝑚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𝑥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</m:oMath>
              </a14:m>
              <a:r>
                <a:rPr lang="en-US" altLang="ko-KR" sz="1100"/>
                <a:t>]+De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D751C6E-C779-4A7E-A4BE-E309167E7F3A}"/>
                </a:ext>
              </a:extLst>
            </xdr:cNvPr>
            <xdr:cNvSpPr txBox="1"/>
          </xdr:nvSpPr>
          <xdr:spPr>
            <a:xfrm>
              <a:off x="110158" y="751231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(𝐷𝑖−𝐷𝑒)[1−(1/𝑋𝑚)^2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(𝑥/𝐿)^3</a:t>
              </a:r>
              <a:r>
                <a:rPr lang="en-US" altLang="ko-KR" sz="1100"/>
                <a:t>]+De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12</xdr:row>
      <xdr:rowOff>197125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DFEC2E-778A-4F4A-9964-B4CB6E88F43A}"/>
            </a:ext>
          </a:extLst>
        </xdr:cNvPr>
        <xdr:cNvSpPr txBox="1"/>
      </xdr:nvSpPr>
      <xdr:spPr>
        <a:xfrm>
          <a:off x="6753225" y="27117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110158</xdr:colOff>
      <xdr:row>3</xdr:row>
      <xdr:rowOff>122581</xdr:rowOff>
    </xdr:from>
    <xdr:ext cx="2551019" cy="177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A882527-D727-47A6-9D6B-AF4BF18920C2}"/>
                </a:ext>
              </a:extLst>
            </xdr:cNvPr>
            <xdr:cNvSpPr txBox="1"/>
          </xdr:nvSpPr>
          <xdr:spPr>
            <a:xfrm>
              <a:off x="110158" y="743777"/>
              <a:ext cx="2551019" cy="177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/>
                <a:t>h=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en-US" altLang="ko-KR" sz="1100" b="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100" b="0" i="0">
                          <a:latin typeface="Cambria Math" panose="02040503050406030204" pitchFamily="18" charset="0"/>
                        </a:rPr>
                        <m:t>−10</m:t>
                      </m:r>
                      <m:sSup>
                        <m:sSupPr>
                          <m:ctrlPr>
                            <a:rPr lang="en-US" altLang="ko-KR" sz="1100" b="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altLang="ko-KR" sz="1100" b="0" i="1">
                                  <a:solidFill>
                                    <a:srgbClr val="836967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altLang="ko-KR" sz="1100" b="0" i="0">
                                  <a:latin typeface="Cambria Math" panose="02040503050406030204" pitchFamily="18" charset="0"/>
                                </a:rPr>
                                <m:t>𝜉</m:t>
                              </m:r>
                            </m:e>
                          </m:d>
                        </m:e>
                        <m:sup>
                          <m: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3</m:t>
                          </m:r>
                        </m:sup>
                      </m:sSup>
                      <m:r>
                        <a:rPr lang="en-US" altLang="ko-KR" sz="1100" b="0" i="0">
                          <a:latin typeface="Cambria Math" panose="02040503050406030204" pitchFamily="18" charset="0"/>
                        </a:rPr>
                        <m:t>+15</m:t>
                      </m:r>
                      <m:sSup>
                        <m:sSupPr>
                          <m:ctrlPr>
                            <a:rPr lang="en-US" altLang="ko-KR" sz="1100" b="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altLang="ko-KR" sz="1100" b="0" i="1">
                                  <a:solidFill>
                                    <a:srgbClr val="836967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altLang="ko-KR" sz="1100" b="0" i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𝜉</m:t>
                              </m:r>
                            </m:e>
                          </m:d>
                        </m:e>
                        <m:sup>
                          <m: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4</m:t>
                          </m:r>
                        </m:sup>
                      </m:sSup>
                      <m:r>
                        <a:rPr lang="en-US" altLang="ko-KR" sz="1100" b="0" i="0">
                          <a:latin typeface="Cambria Math" panose="02040503050406030204" pitchFamily="18" charset="0"/>
                        </a:rPr>
                        <m:t>−6</m:t>
                      </m:r>
                      <m:sSup>
                        <m:sSupPr>
                          <m:ctrlPr>
                            <a:rPr lang="en-US" altLang="ko-KR" sz="1100" b="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altLang="ko-KR" sz="1100" b="0" i="1">
                                  <a:solidFill>
                                    <a:srgbClr val="836967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altLang="ko-KR" sz="1100" b="0" i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𝜉</m:t>
                              </m:r>
                            </m:e>
                          </m:d>
                        </m:e>
                        <m:sup>
                          <m: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5</m:t>
                          </m:r>
                        </m:sup>
                      </m:sSup>
                    </m:e>
                  </m:d>
                  <m:sSub>
                    <m:sSub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m:rPr>
                          <m:sty m:val="p"/>
                        </m:rP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i</m:t>
                      </m:r>
                    </m:sub>
                  </m:sSub>
                  <m:r>
                    <a:rPr lang="en-US" altLang="ko-K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sSub>
                    <m:sSub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</m:t>
                      </m:r>
                    </m:sub>
                  </m:sSub>
                  <m:r>
                    <a:rPr lang="en-US" altLang="ko-K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altLang="ko-KR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m:rPr>
                          <m:sty m:val="p"/>
                        </m:rPr>
                        <a:rPr lang="en-US" altLang="ko-KR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i</m:t>
                      </m:r>
                    </m:sub>
                  </m:sSub>
                </m:oMath>
              </a14:m>
              <a:endParaRPr lang="en-US" altLang="ko-KR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A882527-D727-47A6-9D6B-AF4BF18920C2}"/>
                </a:ext>
              </a:extLst>
            </xdr:cNvPr>
            <xdr:cNvSpPr txBox="1"/>
          </xdr:nvSpPr>
          <xdr:spPr>
            <a:xfrm>
              <a:off x="110158" y="743777"/>
              <a:ext cx="2551019" cy="177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/>
                <a:t>h=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[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−10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𝜉)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3+15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𝜉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altLang="ko-KR" sz="1100" b="0" i="0">
                  <a:solidFill>
                    <a:srgbClr val="836967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4−6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𝜉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altLang="ko-KR" sz="1100" b="0" i="0">
                  <a:solidFill>
                    <a:srgbClr val="836967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5 ]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𝐻〗_i−𝐻_0)</a:t>
              </a:r>
              <a:r>
                <a:rPr lang="en-US" altLang="ko-KR" sz="1100"/>
                <a:t>+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𝐻_i</a:t>
              </a:r>
              <a:endParaRPr lang="en-US" altLang="ko-KR" sz="1100"/>
            </a:p>
          </xdr:txBody>
        </xdr:sp>
      </mc:Fallback>
    </mc:AlternateContent>
    <xdr:clientData/>
  </xdr:oneCellAnchor>
  <xdr:oneCellAnchor>
    <xdr:from>
      <xdr:col>0</xdr:col>
      <xdr:colOff>101876</xdr:colOff>
      <xdr:row>5</xdr:row>
      <xdr:rowOff>130036</xdr:rowOff>
    </xdr:from>
    <xdr:ext cx="1832489" cy="2868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1E0A9E7-662B-4E23-9DC3-74B912FD03E7}"/>
                </a:ext>
              </a:extLst>
            </xdr:cNvPr>
            <xdr:cNvSpPr txBox="1"/>
          </xdr:nvSpPr>
          <xdr:spPr>
            <a:xfrm>
              <a:off x="101876" y="1165362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d>
                    <m:d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𝐷𝑖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𝐷𝑒</m:t>
                      </m:r>
                    </m:e>
                  </m:d>
                  <m:r>
                    <a:rPr lang="en-US" altLang="ko-KR" sz="1100" b="0" i="1">
                      <a:latin typeface="Cambria Math" panose="02040503050406030204" pitchFamily="18" charset="0"/>
                    </a:rPr>
                    <m:t>[1−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𝑋𝑚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𝑥</m:t>
                              </m:r>
                            </m:num>
                            <m:den>
                              <m:r>
                                <a:rPr lang="en-US" altLang="ko-KR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</m:oMath>
              </a14:m>
              <a:r>
                <a:rPr lang="en-US" altLang="ko-KR" sz="1100"/>
                <a:t>]+De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1E0A9E7-662B-4E23-9DC3-74B912FD03E7}"/>
                </a:ext>
              </a:extLst>
            </xdr:cNvPr>
            <xdr:cNvSpPr txBox="1"/>
          </xdr:nvSpPr>
          <xdr:spPr>
            <a:xfrm>
              <a:off x="101876" y="1165362"/>
              <a:ext cx="1832489" cy="2868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(𝐷𝑖−𝐷𝑒)[1−(1/𝑋𝑚)^2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(𝑥/𝐿)^3</a:t>
              </a:r>
              <a:r>
                <a:rPr lang="en-US" altLang="ko-KR" sz="1100"/>
                <a:t>]+De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9666</xdr:row>
      <xdr:rowOff>114300</xdr:rowOff>
    </xdr:from>
    <xdr:to>
      <xdr:col>7</xdr:col>
      <xdr:colOff>0</xdr:colOff>
      <xdr:row>9672</xdr:row>
      <xdr:rowOff>47625</xdr:rowOff>
    </xdr:to>
    <xdr:sp macro="[0]!사각형둥근모서리1_Click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EC046E9-F8C7-4963-8637-833CDE407C6E}"/>
            </a:ext>
          </a:extLst>
        </xdr:cNvPr>
        <xdr:cNvSpPr/>
      </xdr:nvSpPr>
      <xdr:spPr>
        <a:xfrm>
          <a:off x="2714625" y="2025834150"/>
          <a:ext cx="2857500" cy="1190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571500</xdr:colOff>
      <xdr:row>5</xdr:row>
      <xdr:rowOff>152400</xdr:rowOff>
    </xdr:from>
    <xdr:to>
      <xdr:col>3</xdr:col>
      <xdr:colOff>514350</xdr:colOff>
      <xdr:row>8</xdr:row>
      <xdr:rowOff>123825</xdr:rowOff>
    </xdr:to>
    <xdr:sp macro="[0]!사각형둥근모서리3_Click" textlink="">
      <xdr:nvSpPr>
        <xdr:cNvPr id="4" name="사각형: 둥근 모서리 3" descr="ㅁ">
          <a:extLst>
            <a:ext uri="{FF2B5EF4-FFF2-40B4-BE49-F238E27FC236}">
              <a16:creationId xmlns:a16="http://schemas.microsoft.com/office/drawing/2014/main" id="{F782B4EB-006D-4D7F-87E5-F2452976E98D}"/>
            </a:ext>
          </a:extLst>
        </xdr:cNvPr>
        <xdr:cNvSpPr/>
      </xdr:nvSpPr>
      <xdr:spPr>
        <a:xfrm>
          <a:off x="571500" y="1200150"/>
          <a:ext cx="2000250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/>
            <a:t>Contractin</a:t>
          </a:r>
          <a:r>
            <a:rPr lang="en-US" altLang="ko-KR" sz="1400"/>
            <a:t> </a:t>
          </a:r>
          <a:r>
            <a:rPr lang="ko-KR" altLang="en-US" sz="1400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32C90-1719-43FA-83DD-BA52F1A16253}">
  <sheetPr codeName="Sheet1"/>
  <dimension ref="A1:G203"/>
  <sheetViews>
    <sheetView zoomScale="115" zoomScaleNormal="115" workbookViewId="0">
      <selection activeCell="F2" sqref="A2:F2"/>
    </sheetView>
  </sheetViews>
  <sheetFormatPr defaultColWidth="0" defaultRowHeight="16.5" zeroHeight="1" x14ac:dyDescent="0.3"/>
  <cols>
    <col min="1" max="6" width="9" customWidth="1"/>
    <col min="7" max="7" width="29.625" bestFit="1" customWidth="1"/>
    <col min="8" max="16384" width="9" hidden="1"/>
  </cols>
  <sheetData>
    <row r="1" spans="1:7" x14ac:dyDescent="0.3">
      <c r="A1" s="4" t="s">
        <v>4</v>
      </c>
    </row>
    <row r="2" spans="1:7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</row>
    <row r="3" spans="1:7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>
        <f t="shared" ref="F3:F34" si="0">($B$3/2)-(($B$3-$C$3)/2)*((3*(E3/$D$3)^2)-(2*(E3/$D$3)^3))</f>
        <v>1500</v>
      </c>
      <c r="G3" t="str">
        <f>CONCATENATE("SPLINE ",$E3,",",$F3)</f>
        <v>SPLINE 0,1500</v>
      </c>
    </row>
    <row r="4" spans="1:7" x14ac:dyDescent="0.3">
      <c r="E4">
        <f>E3+($D$3/200)</f>
        <v>30</v>
      </c>
      <c r="F4">
        <f t="shared" si="0"/>
        <v>1499.92525</v>
      </c>
      <c r="G4" t="str">
        <f t="shared" ref="G4:G67" si="1">CONCATENATE("SPLINE ",$E4,",",$F4)</f>
        <v>SPLINE 30,1499.92525</v>
      </c>
    </row>
    <row r="5" spans="1:7" x14ac:dyDescent="0.3">
      <c r="E5">
        <f t="shared" ref="E5:E68" si="2">E4+($D$3/200)</f>
        <v>60</v>
      </c>
      <c r="F5">
        <f t="shared" si="0"/>
        <v>1499.702</v>
      </c>
      <c r="G5" t="str">
        <f t="shared" si="1"/>
        <v>SPLINE 60,1499.702</v>
      </c>
    </row>
    <row r="6" spans="1:7" x14ac:dyDescent="0.3">
      <c r="E6">
        <f t="shared" si="2"/>
        <v>90</v>
      </c>
      <c r="F6">
        <f t="shared" si="0"/>
        <v>1499.3317500000001</v>
      </c>
      <c r="G6" t="str">
        <f t="shared" si="1"/>
        <v>SPLINE 90,1499.33175</v>
      </c>
    </row>
    <row r="7" spans="1:7" x14ac:dyDescent="0.3">
      <c r="E7">
        <f t="shared" si="2"/>
        <v>120</v>
      </c>
      <c r="F7">
        <f t="shared" si="0"/>
        <v>1498.816</v>
      </c>
      <c r="G7" t="str">
        <f t="shared" si="1"/>
        <v>SPLINE 120,1498.816</v>
      </c>
    </row>
    <row r="8" spans="1:7" x14ac:dyDescent="0.3">
      <c r="E8">
        <f t="shared" si="2"/>
        <v>150</v>
      </c>
      <c r="F8">
        <f t="shared" si="0"/>
        <v>1498.15625</v>
      </c>
      <c r="G8" t="str">
        <f t="shared" si="1"/>
        <v>SPLINE 150,1498.15625</v>
      </c>
    </row>
    <row r="9" spans="1:7" x14ac:dyDescent="0.3">
      <c r="E9">
        <f t="shared" si="2"/>
        <v>180</v>
      </c>
      <c r="F9">
        <f t="shared" si="0"/>
        <v>1497.354</v>
      </c>
      <c r="G9" t="str">
        <f t="shared" si="1"/>
        <v>SPLINE 180,1497.354</v>
      </c>
    </row>
    <row r="10" spans="1:7" x14ac:dyDescent="0.3">
      <c r="E10">
        <f t="shared" si="2"/>
        <v>210</v>
      </c>
      <c r="F10">
        <f t="shared" si="0"/>
        <v>1496.41075</v>
      </c>
      <c r="G10" t="str">
        <f t="shared" si="1"/>
        <v>SPLINE 210,1496.41075</v>
      </c>
    </row>
    <row r="11" spans="1:7" x14ac:dyDescent="0.3">
      <c r="E11">
        <f t="shared" si="2"/>
        <v>240</v>
      </c>
      <c r="F11">
        <f t="shared" si="0"/>
        <v>1495.328</v>
      </c>
      <c r="G11" t="str">
        <f t="shared" si="1"/>
        <v>SPLINE 240,1495.328</v>
      </c>
    </row>
    <row r="12" spans="1:7" x14ac:dyDescent="0.3">
      <c r="E12">
        <f t="shared" si="2"/>
        <v>270</v>
      </c>
      <c r="F12">
        <f t="shared" si="0"/>
        <v>1494.10725</v>
      </c>
      <c r="G12" t="str">
        <f t="shared" si="1"/>
        <v>SPLINE 270,1494.10725</v>
      </c>
    </row>
    <row r="13" spans="1:7" x14ac:dyDescent="0.3">
      <c r="E13">
        <f t="shared" si="2"/>
        <v>300</v>
      </c>
      <c r="F13">
        <f t="shared" si="0"/>
        <v>1492.75</v>
      </c>
      <c r="G13" t="str">
        <f t="shared" si="1"/>
        <v>SPLINE 300,1492.75</v>
      </c>
    </row>
    <row r="14" spans="1:7" x14ac:dyDescent="0.3">
      <c r="E14">
        <f t="shared" si="2"/>
        <v>330</v>
      </c>
      <c r="F14">
        <f t="shared" si="0"/>
        <v>1491.25775</v>
      </c>
      <c r="G14" t="str">
        <f t="shared" si="1"/>
        <v>SPLINE 330,1491.25775</v>
      </c>
    </row>
    <row r="15" spans="1:7" x14ac:dyDescent="0.3">
      <c r="E15">
        <f t="shared" si="2"/>
        <v>360</v>
      </c>
      <c r="F15">
        <f t="shared" si="0"/>
        <v>1489.6320000000001</v>
      </c>
      <c r="G15" t="str">
        <f t="shared" si="1"/>
        <v>SPLINE 360,1489.632</v>
      </c>
    </row>
    <row r="16" spans="1:7" x14ac:dyDescent="0.3">
      <c r="E16">
        <f t="shared" si="2"/>
        <v>390</v>
      </c>
      <c r="F16">
        <f t="shared" si="0"/>
        <v>1487.8742500000001</v>
      </c>
      <c r="G16" t="str">
        <f t="shared" si="1"/>
        <v>SPLINE 390,1487.87425</v>
      </c>
    </row>
    <row r="17" spans="5:7" x14ac:dyDescent="0.3">
      <c r="E17">
        <f t="shared" si="2"/>
        <v>420</v>
      </c>
      <c r="F17">
        <f t="shared" si="0"/>
        <v>1485.9860000000001</v>
      </c>
      <c r="G17" t="str">
        <f t="shared" si="1"/>
        <v>SPLINE 420,1485.986</v>
      </c>
    </row>
    <row r="18" spans="5:7" x14ac:dyDescent="0.3">
      <c r="E18">
        <f t="shared" si="2"/>
        <v>450</v>
      </c>
      <c r="F18">
        <f t="shared" si="0"/>
        <v>1483.96875</v>
      </c>
      <c r="G18" t="str">
        <f t="shared" si="1"/>
        <v>SPLINE 450,1483.96875</v>
      </c>
    </row>
    <row r="19" spans="5:7" x14ac:dyDescent="0.3">
      <c r="E19">
        <f t="shared" si="2"/>
        <v>480</v>
      </c>
      <c r="F19">
        <f t="shared" si="0"/>
        <v>1481.8240000000001</v>
      </c>
      <c r="G19" t="str">
        <f t="shared" si="1"/>
        <v>SPLINE 480,1481.824</v>
      </c>
    </row>
    <row r="20" spans="5:7" x14ac:dyDescent="0.3">
      <c r="E20">
        <f t="shared" si="2"/>
        <v>510</v>
      </c>
      <c r="F20">
        <f t="shared" si="0"/>
        <v>1479.5532499999999</v>
      </c>
      <c r="G20" t="str">
        <f t="shared" si="1"/>
        <v>SPLINE 510,1479.55325</v>
      </c>
    </row>
    <row r="21" spans="5:7" x14ac:dyDescent="0.3">
      <c r="E21">
        <f t="shared" si="2"/>
        <v>540</v>
      </c>
      <c r="F21">
        <f t="shared" si="0"/>
        <v>1477.1579999999999</v>
      </c>
      <c r="G21" t="str">
        <f t="shared" si="1"/>
        <v>SPLINE 540,1477.158</v>
      </c>
    </row>
    <row r="22" spans="5:7" x14ac:dyDescent="0.3">
      <c r="E22">
        <f t="shared" si="2"/>
        <v>570</v>
      </c>
      <c r="F22">
        <f t="shared" si="0"/>
        <v>1474.63975</v>
      </c>
      <c r="G22" t="str">
        <f t="shared" si="1"/>
        <v>SPLINE 570,1474.63975</v>
      </c>
    </row>
    <row r="23" spans="5:7" x14ac:dyDescent="0.3">
      <c r="E23">
        <f t="shared" si="2"/>
        <v>600</v>
      </c>
      <c r="F23">
        <f t="shared" si="0"/>
        <v>1472</v>
      </c>
      <c r="G23" t="str">
        <f t="shared" si="1"/>
        <v>SPLINE 600,1472</v>
      </c>
    </row>
    <row r="24" spans="5:7" x14ac:dyDescent="0.3">
      <c r="E24">
        <f t="shared" si="2"/>
        <v>630</v>
      </c>
      <c r="F24">
        <f t="shared" si="0"/>
        <v>1469.2402500000001</v>
      </c>
      <c r="G24" t="str">
        <f t="shared" si="1"/>
        <v>SPLINE 630,1469.24025</v>
      </c>
    </row>
    <row r="25" spans="5:7" x14ac:dyDescent="0.3">
      <c r="E25">
        <f t="shared" si="2"/>
        <v>660</v>
      </c>
      <c r="F25">
        <f t="shared" si="0"/>
        <v>1466.3620000000001</v>
      </c>
      <c r="G25" t="str">
        <f t="shared" si="1"/>
        <v>SPLINE 660,1466.362</v>
      </c>
    </row>
    <row r="26" spans="5:7" x14ac:dyDescent="0.3">
      <c r="E26">
        <f t="shared" si="2"/>
        <v>690</v>
      </c>
      <c r="F26">
        <f t="shared" si="0"/>
        <v>1463.3667499999999</v>
      </c>
      <c r="G26" t="str">
        <f t="shared" si="1"/>
        <v>SPLINE 690,1463.36675</v>
      </c>
    </row>
    <row r="27" spans="5:7" x14ac:dyDescent="0.3">
      <c r="E27">
        <f t="shared" si="2"/>
        <v>720</v>
      </c>
      <c r="F27">
        <f t="shared" si="0"/>
        <v>1460.2560000000001</v>
      </c>
      <c r="G27" t="str">
        <f t="shared" si="1"/>
        <v>SPLINE 720,1460.256</v>
      </c>
    </row>
    <row r="28" spans="5:7" x14ac:dyDescent="0.3">
      <c r="E28">
        <f t="shared" si="2"/>
        <v>750</v>
      </c>
      <c r="F28">
        <f t="shared" si="0"/>
        <v>1457.03125</v>
      </c>
      <c r="G28" t="str">
        <f t="shared" si="1"/>
        <v>SPLINE 750,1457.03125</v>
      </c>
    </row>
    <row r="29" spans="5:7" x14ac:dyDescent="0.3">
      <c r="E29">
        <f t="shared" si="2"/>
        <v>780</v>
      </c>
      <c r="F29">
        <f t="shared" si="0"/>
        <v>1453.694</v>
      </c>
      <c r="G29" t="str">
        <f t="shared" si="1"/>
        <v>SPLINE 780,1453.694</v>
      </c>
    </row>
    <row r="30" spans="5:7" x14ac:dyDescent="0.3">
      <c r="E30">
        <f t="shared" si="2"/>
        <v>810</v>
      </c>
      <c r="F30">
        <f t="shared" si="0"/>
        <v>1450.24575</v>
      </c>
      <c r="G30" t="str">
        <f t="shared" si="1"/>
        <v>SPLINE 810,1450.24575</v>
      </c>
    </row>
    <row r="31" spans="5:7" x14ac:dyDescent="0.3">
      <c r="E31">
        <f t="shared" si="2"/>
        <v>840</v>
      </c>
      <c r="F31">
        <f t="shared" si="0"/>
        <v>1446.6880000000001</v>
      </c>
      <c r="G31" t="str">
        <f t="shared" si="1"/>
        <v>SPLINE 840,1446.688</v>
      </c>
    </row>
    <row r="32" spans="5:7" x14ac:dyDescent="0.3">
      <c r="E32">
        <f t="shared" si="2"/>
        <v>870</v>
      </c>
      <c r="F32">
        <f t="shared" si="0"/>
        <v>1443.02225</v>
      </c>
      <c r="G32" t="str">
        <f t="shared" si="1"/>
        <v>SPLINE 870,1443.02225</v>
      </c>
    </row>
    <row r="33" spans="5:7" x14ac:dyDescent="0.3">
      <c r="E33">
        <f t="shared" si="2"/>
        <v>900</v>
      </c>
      <c r="F33">
        <f t="shared" si="0"/>
        <v>1439.25</v>
      </c>
      <c r="G33" t="str">
        <f t="shared" si="1"/>
        <v>SPLINE 900,1439.25</v>
      </c>
    </row>
    <row r="34" spans="5:7" x14ac:dyDescent="0.3">
      <c r="E34">
        <f t="shared" si="2"/>
        <v>930</v>
      </c>
      <c r="F34">
        <f t="shared" si="0"/>
        <v>1435.37275</v>
      </c>
      <c r="G34" t="str">
        <f t="shared" si="1"/>
        <v>SPLINE 930,1435.37275</v>
      </c>
    </row>
    <row r="35" spans="5:7" x14ac:dyDescent="0.3">
      <c r="E35">
        <f t="shared" si="2"/>
        <v>960</v>
      </c>
      <c r="F35">
        <f t="shared" ref="F35:F66" si="3">($B$3/2)-(($B$3-$C$3)/2)*((3*(E35/$D$3)^2)-(2*(E35/$D$3)^3))</f>
        <v>1431.3920000000001</v>
      </c>
      <c r="G35" t="str">
        <f t="shared" si="1"/>
        <v>SPLINE 960,1431.392</v>
      </c>
    </row>
    <row r="36" spans="5:7" x14ac:dyDescent="0.3">
      <c r="E36">
        <f t="shared" si="2"/>
        <v>990</v>
      </c>
      <c r="F36">
        <f t="shared" si="3"/>
        <v>1427.30925</v>
      </c>
      <c r="G36" t="str">
        <f t="shared" si="1"/>
        <v>SPLINE 990,1427.30925</v>
      </c>
    </row>
    <row r="37" spans="5:7" x14ac:dyDescent="0.3">
      <c r="E37">
        <f t="shared" si="2"/>
        <v>1020</v>
      </c>
      <c r="F37">
        <f t="shared" si="3"/>
        <v>1423.126</v>
      </c>
      <c r="G37" t="str">
        <f t="shared" si="1"/>
        <v>SPLINE 1020,1423.126</v>
      </c>
    </row>
    <row r="38" spans="5:7" x14ac:dyDescent="0.3">
      <c r="E38">
        <f t="shared" si="2"/>
        <v>1050</v>
      </c>
      <c r="F38">
        <f t="shared" si="3"/>
        <v>1418.84375</v>
      </c>
      <c r="G38" t="str">
        <f t="shared" si="1"/>
        <v>SPLINE 1050,1418.84375</v>
      </c>
    </row>
    <row r="39" spans="5:7" x14ac:dyDescent="0.3">
      <c r="E39">
        <f t="shared" si="2"/>
        <v>1080</v>
      </c>
      <c r="F39">
        <f t="shared" si="3"/>
        <v>1414.4639999999999</v>
      </c>
      <c r="G39" t="str">
        <f t="shared" si="1"/>
        <v>SPLINE 1080,1414.464</v>
      </c>
    </row>
    <row r="40" spans="5:7" x14ac:dyDescent="0.3">
      <c r="E40">
        <f t="shared" si="2"/>
        <v>1110</v>
      </c>
      <c r="F40">
        <f t="shared" si="3"/>
        <v>1409.9882500000001</v>
      </c>
      <c r="G40" t="str">
        <f t="shared" si="1"/>
        <v>SPLINE 1110,1409.98825</v>
      </c>
    </row>
    <row r="41" spans="5:7" x14ac:dyDescent="0.3">
      <c r="E41">
        <f t="shared" si="2"/>
        <v>1140</v>
      </c>
      <c r="F41">
        <f t="shared" si="3"/>
        <v>1405.4180000000001</v>
      </c>
      <c r="G41" t="str">
        <f t="shared" si="1"/>
        <v>SPLINE 1140,1405.418</v>
      </c>
    </row>
    <row r="42" spans="5:7" x14ac:dyDescent="0.3">
      <c r="E42">
        <f t="shared" si="2"/>
        <v>1170</v>
      </c>
      <c r="F42">
        <f t="shared" si="3"/>
        <v>1400.7547500000001</v>
      </c>
      <c r="G42" t="str">
        <f t="shared" si="1"/>
        <v>SPLINE 1170,1400.75475</v>
      </c>
    </row>
    <row r="43" spans="5:7" x14ac:dyDescent="0.3">
      <c r="E43">
        <f t="shared" si="2"/>
        <v>1200</v>
      </c>
      <c r="F43">
        <f t="shared" si="3"/>
        <v>1396</v>
      </c>
      <c r="G43" t="str">
        <f t="shared" si="1"/>
        <v>SPLINE 1200,1396</v>
      </c>
    </row>
    <row r="44" spans="5:7" x14ac:dyDescent="0.3">
      <c r="E44">
        <f t="shared" si="2"/>
        <v>1230</v>
      </c>
      <c r="F44">
        <f t="shared" si="3"/>
        <v>1391.15525</v>
      </c>
      <c r="G44" t="str">
        <f t="shared" si="1"/>
        <v>SPLINE 1230,1391.15525</v>
      </c>
    </row>
    <row r="45" spans="5:7" x14ac:dyDescent="0.3">
      <c r="E45">
        <f t="shared" si="2"/>
        <v>1260</v>
      </c>
      <c r="F45">
        <f t="shared" si="3"/>
        <v>1386.222</v>
      </c>
      <c r="G45" t="str">
        <f t="shared" si="1"/>
        <v>SPLINE 1260,1386.222</v>
      </c>
    </row>
    <row r="46" spans="5:7" x14ac:dyDescent="0.3">
      <c r="E46">
        <f t="shared" si="2"/>
        <v>1290</v>
      </c>
      <c r="F46">
        <f t="shared" si="3"/>
        <v>1381.2017499999999</v>
      </c>
      <c r="G46" t="str">
        <f t="shared" si="1"/>
        <v>SPLINE 1290,1381.20175</v>
      </c>
    </row>
    <row r="47" spans="5:7" x14ac:dyDescent="0.3">
      <c r="E47">
        <f t="shared" si="2"/>
        <v>1320</v>
      </c>
      <c r="F47">
        <f t="shared" si="3"/>
        <v>1376.096</v>
      </c>
      <c r="G47" t="str">
        <f t="shared" si="1"/>
        <v>SPLINE 1320,1376.096</v>
      </c>
    </row>
    <row r="48" spans="5:7" x14ac:dyDescent="0.3">
      <c r="E48">
        <f t="shared" si="2"/>
        <v>1350</v>
      </c>
      <c r="F48">
        <f t="shared" si="3"/>
        <v>1370.90625</v>
      </c>
      <c r="G48" t="str">
        <f t="shared" si="1"/>
        <v>SPLINE 1350,1370.90625</v>
      </c>
    </row>
    <row r="49" spans="5:7" x14ac:dyDescent="0.3">
      <c r="E49">
        <f t="shared" si="2"/>
        <v>1380</v>
      </c>
      <c r="F49">
        <f t="shared" si="3"/>
        <v>1365.634</v>
      </c>
      <c r="G49" t="str">
        <f t="shared" si="1"/>
        <v>SPLINE 1380,1365.634</v>
      </c>
    </row>
    <row r="50" spans="5:7" x14ac:dyDescent="0.3">
      <c r="E50">
        <f t="shared" si="2"/>
        <v>1410</v>
      </c>
      <c r="F50">
        <f t="shared" si="3"/>
        <v>1360.2807499999999</v>
      </c>
      <c r="G50" t="str">
        <f t="shared" si="1"/>
        <v>SPLINE 1410,1360.28075</v>
      </c>
    </row>
    <row r="51" spans="5:7" x14ac:dyDescent="0.3">
      <c r="E51">
        <f t="shared" si="2"/>
        <v>1440</v>
      </c>
      <c r="F51">
        <f t="shared" si="3"/>
        <v>1354.848</v>
      </c>
      <c r="G51" t="str">
        <f t="shared" si="1"/>
        <v>SPLINE 1440,1354.848</v>
      </c>
    </row>
    <row r="52" spans="5:7" x14ac:dyDescent="0.3">
      <c r="E52">
        <f t="shared" si="2"/>
        <v>1470</v>
      </c>
      <c r="F52">
        <f t="shared" si="3"/>
        <v>1349.33725</v>
      </c>
      <c r="G52" t="str">
        <f t="shared" si="1"/>
        <v>SPLINE 1470,1349.33725</v>
      </c>
    </row>
    <row r="53" spans="5:7" x14ac:dyDescent="0.3">
      <c r="E53">
        <f t="shared" si="2"/>
        <v>1500</v>
      </c>
      <c r="F53">
        <f t="shared" si="3"/>
        <v>1343.75</v>
      </c>
      <c r="G53" t="str">
        <f t="shared" si="1"/>
        <v>SPLINE 1500,1343.75</v>
      </c>
    </row>
    <row r="54" spans="5:7" x14ac:dyDescent="0.3">
      <c r="E54">
        <f t="shared" si="2"/>
        <v>1530</v>
      </c>
      <c r="F54">
        <f t="shared" si="3"/>
        <v>1338.0877499999999</v>
      </c>
      <c r="G54" t="str">
        <f t="shared" si="1"/>
        <v>SPLINE 1530,1338.08775</v>
      </c>
    </row>
    <row r="55" spans="5:7" x14ac:dyDescent="0.3">
      <c r="E55">
        <f t="shared" si="2"/>
        <v>1560</v>
      </c>
      <c r="F55">
        <f t="shared" si="3"/>
        <v>1332.3519999999999</v>
      </c>
      <c r="G55" t="str">
        <f t="shared" si="1"/>
        <v>SPLINE 1560,1332.352</v>
      </c>
    </row>
    <row r="56" spans="5:7" x14ac:dyDescent="0.3">
      <c r="E56">
        <f t="shared" si="2"/>
        <v>1590</v>
      </c>
      <c r="F56">
        <f t="shared" si="3"/>
        <v>1326.5442499999999</v>
      </c>
      <c r="G56" t="str">
        <f t="shared" si="1"/>
        <v>SPLINE 1590,1326.54425</v>
      </c>
    </row>
    <row r="57" spans="5:7" x14ac:dyDescent="0.3">
      <c r="E57">
        <f t="shared" si="2"/>
        <v>1620</v>
      </c>
      <c r="F57">
        <f t="shared" si="3"/>
        <v>1320.6659999999999</v>
      </c>
      <c r="G57" t="str">
        <f t="shared" si="1"/>
        <v>SPLINE 1620,1320.666</v>
      </c>
    </row>
    <row r="58" spans="5:7" x14ac:dyDescent="0.3">
      <c r="E58">
        <f t="shared" si="2"/>
        <v>1650</v>
      </c>
      <c r="F58">
        <f t="shared" si="3"/>
        <v>1314.71875</v>
      </c>
      <c r="G58" t="str">
        <f t="shared" si="1"/>
        <v>SPLINE 1650,1314.71875</v>
      </c>
    </row>
    <row r="59" spans="5:7" x14ac:dyDescent="0.3">
      <c r="E59">
        <f t="shared" si="2"/>
        <v>1680</v>
      </c>
      <c r="F59">
        <f t="shared" si="3"/>
        <v>1308.704</v>
      </c>
      <c r="G59" t="str">
        <f t="shared" si="1"/>
        <v>SPLINE 1680,1308.704</v>
      </c>
    </row>
    <row r="60" spans="5:7" x14ac:dyDescent="0.3">
      <c r="E60">
        <f t="shared" si="2"/>
        <v>1710</v>
      </c>
      <c r="F60">
        <f t="shared" si="3"/>
        <v>1302.6232500000001</v>
      </c>
      <c r="G60" t="str">
        <f t="shared" si="1"/>
        <v>SPLINE 1710,1302.62325</v>
      </c>
    </row>
    <row r="61" spans="5:7" x14ac:dyDescent="0.3">
      <c r="E61">
        <f t="shared" si="2"/>
        <v>1740</v>
      </c>
      <c r="F61">
        <f t="shared" si="3"/>
        <v>1296.4780000000001</v>
      </c>
      <c r="G61" t="str">
        <f t="shared" si="1"/>
        <v>SPLINE 1740,1296.478</v>
      </c>
    </row>
    <row r="62" spans="5:7" x14ac:dyDescent="0.3">
      <c r="E62">
        <f t="shared" si="2"/>
        <v>1770</v>
      </c>
      <c r="F62">
        <f t="shared" si="3"/>
        <v>1290.2697499999999</v>
      </c>
      <c r="G62" t="str">
        <f t="shared" si="1"/>
        <v>SPLINE 1770,1290.26975</v>
      </c>
    </row>
    <row r="63" spans="5:7" x14ac:dyDescent="0.3">
      <c r="E63">
        <f t="shared" si="2"/>
        <v>1800</v>
      </c>
      <c r="F63">
        <f t="shared" si="3"/>
        <v>1284</v>
      </c>
      <c r="G63" t="str">
        <f t="shared" si="1"/>
        <v>SPLINE 1800,1284</v>
      </c>
    </row>
    <row r="64" spans="5:7" x14ac:dyDescent="0.3">
      <c r="E64">
        <f t="shared" si="2"/>
        <v>1830</v>
      </c>
      <c r="F64">
        <f t="shared" si="3"/>
        <v>1277.6702500000001</v>
      </c>
      <c r="G64" t="str">
        <f t="shared" si="1"/>
        <v>SPLINE 1830,1277.67025</v>
      </c>
    </row>
    <row r="65" spans="5:7" x14ac:dyDescent="0.3">
      <c r="E65">
        <f t="shared" si="2"/>
        <v>1860</v>
      </c>
      <c r="F65">
        <f t="shared" si="3"/>
        <v>1271.2819999999999</v>
      </c>
      <c r="G65" t="str">
        <f t="shared" si="1"/>
        <v>SPLINE 1860,1271.282</v>
      </c>
    </row>
    <row r="66" spans="5:7" x14ac:dyDescent="0.3">
      <c r="E66">
        <f t="shared" si="2"/>
        <v>1890</v>
      </c>
      <c r="F66">
        <f t="shared" si="3"/>
        <v>1264.8367499999999</v>
      </c>
      <c r="G66" t="str">
        <f t="shared" si="1"/>
        <v>SPLINE 1890,1264.83675</v>
      </c>
    </row>
    <row r="67" spans="5:7" x14ac:dyDescent="0.3">
      <c r="E67">
        <f t="shared" si="2"/>
        <v>1920</v>
      </c>
      <c r="F67">
        <f t="shared" ref="F67:F98" si="4">($B$3/2)-(($B$3-$C$3)/2)*((3*(E67/$D$3)^2)-(2*(E67/$D$3)^3))</f>
        <v>1258.336</v>
      </c>
      <c r="G67" t="str">
        <f t="shared" si="1"/>
        <v>SPLINE 1920,1258.336</v>
      </c>
    </row>
    <row r="68" spans="5:7" x14ac:dyDescent="0.3">
      <c r="E68">
        <f t="shared" si="2"/>
        <v>1950</v>
      </c>
      <c r="F68">
        <f t="shared" si="4"/>
        <v>1251.78125</v>
      </c>
      <c r="G68" t="str">
        <f t="shared" ref="G68:G132" si="5">CONCATENATE("SPLINE ",$E68,",",$F68)</f>
        <v>SPLINE 1950,1251.78125</v>
      </c>
    </row>
    <row r="69" spans="5:7" x14ac:dyDescent="0.3">
      <c r="E69">
        <f t="shared" ref="E69:E132" si="6">E68+($D$3/200)</f>
        <v>1980</v>
      </c>
      <c r="F69">
        <f t="shared" si="4"/>
        <v>1245.174</v>
      </c>
      <c r="G69" t="str">
        <f t="shared" si="5"/>
        <v>SPLINE 1980,1245.174</v>
      </c>
    </row>
    <row r="70" spans="5:7" x14ac:dyDescent="0.3">
      <c r="E70">
        <f t="shared" si="6"/>
        <v>2010</v>
      </c>
      <c r="F70">
        <f t="shared" si="4"/>
        <v>1238.51575</v>
      </c>
      <c r="G70" t="str">
        <f t="shared" si="5"/>
        <v>SPLINE 2010,1238.51575</v>
      </c>
    </row>
    <row r="71" spans="5:7" x14ac:dyDescent="0.3">
      <c r="E71">
        <f t="shared" si="6"/>
        <v>2040</v>
      </c>
      <c r="F71">
        <f t="shared" si="4"/>
        <v>1231.808</v>
      </c>
      <c r="G71" t="str">
        <f t="shared" si="5"/>
        <v>SPLINE 2040,1231.808</v>
      </c>
    </row>
    <row r="72" spans="5:7" x14ac:dyDescent="0.3">
      <c r="E72">
        <f t="shared" si="6"/>
        <v>2070</v>
      </c>
      <c r="F72">
        <f t="shared" si="4"/>
        <v>1225.0522500000002</v>
      </c>
      <c r="G72" t="str">
        <f t="shared" si="5"/>
        <v>SPLINE 2070,1225.05225</v>
      </c>
    </row>
    <row r="73" spans="5:7" x14ac:dyDescent="0.3">
      <c r="E73">
        <f t="shared" si="6"/>
        <v>2100</v>
      </c>
      <c r="F73">
        <f t="shared" si="4"/>
        <v>1218.25</v>
      </c>
      <c r="G73" t="str">
        <f t="shared" si="5"/>
        <v>SPLINE 2100,1218.25</v>
      </c>
    </row>
    <row r="74" spans="5:7" x14ac:dyDescent="0.3">
      <c r="E74">
        <f t="shared" si="6"/>
        <v>2130</v>
      </c>
      <c r="F74">
        <f t="shared" si="4"/>
        <v>1211.40275</v>
      </c>
      <c r="G74" t="str">
        <f t="shared" si="5"/>
        <v>SPLINE 2130,1211.40275</v>
      </c>
    </row>
    <row r="75" spans="5:7" x14ac:dyDescent="0.3">
      <c r="E75">
        <f t="shared" si="6"/>
        <v>2160</v>
      </c>
      <c r="F75">
        <f t="shared" si="4"/>
        <v>1204.5119999999999</v>
      </c>
      <c r="G75" t="str">
        <f t="shared" si="5"/>
        <v>SPLINE 2160,1204.512</v>
      </c>
    </row>
    <row r="76" spans="5:7" x14ac:dyDescent="0.3">
      <c r="E76">
        <f t="shared" si="6"/>
        <v>2190</v>
      </c>
      <c r="F76">
        <f t="shared" si="4"/>
        <v>1197.57925</v>
      </c>
      <c r="G76" t="str">
        <f t="shared" si="5"/>
        <v>SPLINE 2190,1197.57925</v>
      </c>
    </row>
    <row r="77" spans="5:7" x14ac:dyDescent="0.3">
      <c r="E77">
        <f t="shared" si="6"/>
        <v>2220</v>
      </c>
      <c r="F77">
        <f t="shared" si="4"/>
        <v>1190.606</v>
      </c>
      <c r="G77" t="str">
        <f t="shared" si="5"/>
        <v>SPLINE 2220,1190.606</v>
      </c>
    </row>
    <row r="78" spans="5:7" x14ac:dyDescent="0.3">
      <c r="E78">
        <f t="shared" si="6"/>
        <v>2250</v>
      </c>
      <c r="F78">
        <f t="shared" si="4"/>
        <v>1183.59375</v>
      </c>
      <c r="G78" t="str">
        <f t="shared" si="5"/>
        <v>SPLINE 2250,1183.59375</v>
      </c>
    </row>
    <row r="79" spans="5:7" x14ac:dyDescent="0.3">
      <c r="E79">
        <f t="shared" si="6"/>
        <v>2280</v>
      </c>
      <c r="F79">
        <f t="shared" si="4"/>
        <v>1176.5439999999999</v>
      </c>
      <c r="G79" t="str">
        <f t="shared" si="5"/>
        <v>SPLINE 2280,1176.544</v>
      </c>
    </row>
    <row r="80" spans="5:7" x14ac:dyDescent="0.3">
      <c r="E80">
        <f t="shared" si="6"/>
        <v>2310</v>
      </c>
      <c r="F80">
        <f t="shared" si="4"/>
        <v>1169.4582500000001</v>
      </c>
      <c r="G80" t="str">
        <f t="shared" si="5"/>
        <v>SPLINE 2310,1169.45825</v>
      </c>
    </row>
    <row r="81" spans="5:7" x14ac:dyDescent="0.3">
      <c r="E81">
        <f t="shared" si="6"/>
        <v>2340</v>
      </c>
      <c r="F81">
        <f t="shared" si="4"/>
        <v>1162.338</v>
      </c>
      <c r="G81" t="str">
        <f t="shared" si="5"/>
        <v>SPLINE 2340,1162.338</v>
      </c>
    </row>
    <row r="82" spans="5:7" x14ac:dyDescent="0.3">
      <c r="E82">
        <f t="shared" si="6"/>
        <v>2370</v>
      </c>
      <c r="F82">
        <f t="shared" si="4"/>
        <v>1155.1847499999999</v>
      </c>
      <c r="G82" t="str">
        <f t="shared" si="5"/>
        <v>SPLINE 2370,1155.18475</v>
      </c>
    </row>
    <row r="83" spans="5:7" x14ac:dyDescent="0.3">
      <c r="E83">
        <f t="shared" si="6"/>
        <v>2400</v>
      </c>
      <c r="F83">
        <f t="shared" si="4"/>
        <v>1148</v>
      </c>
      <c r="G83" t="str">
        <f t="shared" si="5"/>
        <v>SPLINE 2400,1148</v>
      </c>
    </row>
    <row r="84" spans="5:7" x14ac:dyDescent="0.3">
      <c r="E84">
        <f t="shared" si="6"/>
        <v>2430</v>
      </c>
      <c r="F84">
        <f t="shared" si="4"/>
        <v>1140.7852499999999</v>
      </c>
      <c r="G84" t="str">
        <f t="shared" si="5"/>
        <v>SPLINE 2430,1140.78525</v>
      </c>
    </row>
    <row r="85" spans="5:7" x14ac:dyDescent="0.3">
      <c r="E85">
        <f t="shared" si="6"/>
        <v>2460</v>
      </c>
      <c r="F85">
        <f t="shared" si="4"/>
        <v>1133.5419999999999</v>
      </c>
      <c r="G85" t="str">
        <f t="shared" si="5"/>
        <v>SPLINE 2460,1133.542</v>
      </c>
    </row>
    <row r="86" spans="5:7" x14ac:dyDescent="0.3">
      <c r="E86">
        <f t="shared" si="6"/>
        <v>2490</v>
      </c>
      <c r="F86">
        <f t="shared" si="4"/>
        <v>1126.2717499999999</v>
      </c>
      <c r="G86" t="str">
        <f t="shared" si="5"/>
        <v>SPLINE 2490,1126.27175</v>
      </c>
    </row>
    <row r="87" spans="5:7" x14ac:dyDescent="0.3">
      <c r="E87">
        <f t="shared" si="6"/>
        <v>2520</v>
      </c>
      <c r="F87">
        <f t="shared" si="4"/>
        <v>1118.9760000000001</v>
      </c>
      <c r="G87" t="str">
        <f t="shared" si="5"/>
        <v>SPLINE 2520,1118.976</v>
      </c>
    </row>
    <row r="88" spans="5:7" x14ac:dyDescent="0.3">
      <c r="E88">
        <f t="shared" si="6"/>
        <v>2550</v>
      </c>
      <c r="F88">
        <f t="shared" si="4"/>
        <v>1111.65625</v>
      </c>
      <c r="G88" t="str">
        <f t="shared" si="5"/>
        <v>SPLINE 2550,1111.65625</v>
      </c>
    </row>
    <row r="89" spans="5:7" x14ac:dyDescent="0.3">
      <c r="E89">
        <f t="shared" si="6"/>
        <v>2580</v>
      </c>
      <c r="F89">
        <f t="shared" si="4"/>
        <v>1104.3140000000001</v>
      </c>
      <c r="G89" t="str">
        <f t="shared" si="5"/>
        <v>SPLINE 2580,1104.314</v>
      </c>
    </row>
    <row r="90" spans="5:7" x14ac:dyDescent="0.3">
      <c r="E90">
        <f t="shared" si="6"/>
        <v>2610</v>
      </c>
      <c r="F90">
        <f t="shared" si="4"/>
        <v>1096.95075</v>
      </c>
      <c r="G90" t="str">
        <f t="shared" si="5"/>
        <v>SPLINE 2610,1096.95075</v>
      </c>
    </row>
    <row r="91" spans="5:7" x14ac:dyDescent="0.3">
      <c r="E91">
        <f t="shared" si="6"/>
        <v>2640</v>
      </c>
      <c r="F91">
        <f t="shared" si="4"/>
        <v>1089.568</v>
      </c>
      <c r="G91" t="str">
        <f t="shared" si="5"/>
        <v>SPLINE 2640,1089.568</v>
      </c>
    </row>
    <row r="92" spans="5:7" x14ac:dyDescent="0.3">
      <c r="E92">
        <f t="shared" si="6"/>
        <v>2670</v>
      </c>
      <c r="F92">
        <f t="shared" si="4"/>
        <v>1082.16725</v>
      </c>
      <c r="G92" t="str">
        <f t="shared" si="5"/>
        <v>SPLINE 2670,1082.16725</v>
      </c>
    </row>
    <row r="93" spans="5:7" x14ac:dyDescent="0.3">
      <c r="E93">
        <f t="shared" si="6"/>
        <v>2700</v>
      </c>
      <c r="F93">
        <f t="shared" si="4"/>
        <v>1074.75</v>
      </c>
      <c r="G93" t="str">
        <f t="shared" si="5"/>
        <v>SPLINE 2700,1074.75</v>
      </c>
    </row>
    <row r="94" spans="5:7" x14ac:dyDescent="0.3">
      <c r="E94">
        <f t="shared" si="6"/>
        <v>2730</v>
      </c>
      <c r="F94">
        <f t="shared" si="4"/>
        <v>1067.3177499999999</v>
      </c>
      <c r="G94" t="str">
        <f t="shared" si="5"/>
        <v>SPLINE 2730,1067.31775</v>
      </c>
    </row>
    <row r="95" spans="5:7" x14ac:dyDescent="0.3">
      <c r="E95">
        <f t="shared" si="6"/>
        <v>2760</v>
      </c>
      <c r="F95">
        <f t="shared" si="4"/>
        <v>1059.8719999999998</v>
      </c>
      <c r="G95" t="str">
        <f t="shared" si="5"/>
        <v>SPLINE 2760,1059.872</v>
      </c>
    </row>
    <row r="96" spans="5:7" x14ac:dyDescent="0.3">
      <c r="E96">
        <f t="shared" si="6"/>
        <v>2790</v>
      </c>
      <c r="F96">
        <f t="shared" si="4"/>
        <v>1052.4142499999998</v>
      </c>
      <c r="G96" t="str">
        <f t="shared" si="5"/>
        <v>SPLINE 2790,1052.41425</v>
      </c>
    </row>
    <row r="97" spans="5:7" x14ac:dyDescent="0.3">
      <c r="E97">
        <f t="shared" si="6"/>
        <v>2820</v>
      </c>
      <c r="F97">
        <f t="shared" si="4"/>
        <v>1044.9459999999999</v>
      </c>
      <c r="G97" t="str">
        <f t="shared" si="5"/>
        <v>SPLINE 2820,1044.946</v>
      </c>
    </row>
    <row r="98" spans="5:7" x14ac:dyDescent="0.3">
      <c r="E98">
        <f t="shared" si="6"/>
        <v>2850</v>
      </c>
      <c r="F98">
        <f t="shared" si="4"/>
        <v>1037.46875</v>
      </c>
      <c r="G98" t="str">
        <f t="shared" si="5"/>
        <v>SPLINE 2850,1037.46875</v>
      </c>
    </row>
    <row r="99" spans="5:7" x14ac:dyDescent="0.3">
      <c r="E99">
        <f t="shared" si="6"/>
        <v>2880</v>
      </c>
      <c r="F99">
        <f t="shared" ref="F99:F130" si="7">($B$3/2)-(($B$3-$C$3)/2)*((3*(E99/$D$3)^2)-(2*(E99/$D$3)^3))</f>
        <v>1029.9839999999999</v>
      </c>
      <c r="G99" t="str">
        <f t="shared" si="5"/>
        <v>SPLINE 2880,1029.984</v>
      </c>
    </row>
    <row r="100" spans="5:7" x14ac:dyDescent="0.3">
      <c r="E100">
        <f t="shared" si="6"/>
        <v>2910</v>
      </c>
      <c r="F100">
        <f t="shared" si="7"/>
        <v>1022.49325</v>
      </c>
      <c r="G100" t="str">
        <f t="shared" si="5"/>
        <v>SPLINE 2910,1022.49325</v>
      </c>
    </row>
    <row r="101" spans="5:7" x14ac:dyDescent="0.3">
      <c r="E101">
        <f t="shared" si="6"/>
        <v>2940</v>
      </c>
      <c r="F101">
        <f t="shared" si="7"/>
        <v>1014.998</v>
      </c>
      <c r="G101" t="str">
        <f t="shared" si="5"/>
        <v>SPLINE 2940,1014.998</v>
      </c>
    </row>
    <row r="102" spans="5:7" x14ac:dyDescent="0.3">
      <c r="E102">
        <f t="shared" si="6"/>
        <v>2970</v>
      </c>
      <c r="F102">
        <f t="shared" si="7"/>
        <v>1007.4997499999999</v>
      </c>
      <c r="G102" t="str">
        <f t="shared" si="5"/>
        <v>SPLINE 2970,1007.49975</v>
      </c>
    </row>
    <row r="103" spans="5:7" x14ac:dyDescent="0.3">
      <c r="E103">
        <f t="shared" si="6"/>
        <v>3000</v>
      </c>
      <c r="F103">
        <f t="shared" si="7"/>
        <v>1000</v>
      </c>
      <c r="G103" t="str">
        <f t="shared" si="5"/>
        <v>SPLINE 3000,1000</v>
      </c>
    </row>
    <row r="104" spans="5:7" x14ac:dyDescent="0.3">
      <c r="E104">
        <f t="shared" si="6"/>
        <v>3030</v>
      </c>
      <c r="F104">
        <f t="shared" si="7"/>
        <v>992.50025000000005</v>
      </c>
      <c r="G104" t="str">
        <f t="shared" si="5"/>
        <v>SPLINE 3030,992.50025</v>
      </c>
    </row>
    <row r="105" spans="5:7" x14ac:dyDescent="0.3">
      <c r="E105">
        <f t="shared" si="6"/>
        <v>3060</v>
      </c>
      <c r="F105">
        <f t="shared" si="7"/>
        <v>985.00199999999995</v>
      </c>
      <c r="G105" t="str">
        <f t="shared" si="5"/>
        <v>SPLINE 3060,985.002</v>
      </c>
    </row>
    <row r="106" spans="5:7" x14ac:dyDescent="0.3">
      <c r="E106">
        <f t="shared" si="6"/>
        <v>3090</v>
      </c>
      <c r="F106">
        <f t="shared" si="7"/>
        <v>977.50675000000012</v>
      </c>
      <c r="G106" t="str">
        <f t="shared" si="5"/>
        <v>SPLINE 3090,977.50675</v>
      </c>
    </row>
    <row r="107" spans="5:7" x14ac:dyDescent="0.3">
      <c r="E107">
        <f t="shared" si="6"/>
        <v>3120</v>
      </c>
      <c r="F107">
        <f t="shared" si="7"/>
        <v>970.01599999999985</v>
      </c>
      <c r="G107" t="str">
        <f t="shared" si="5"/>
        <v>SPLINE 3120,970.016</v>
      </c>
    </row>
    <row r="108" spans="5:7" x14ac:dyDescent="0.3">
      <c r="E108">
        <f t="shared" si="6"/>
        <v>3150</v>
      </c>
      <c r="F108">
        <f t="shared" si="7"/>
        <v>962.53125000000011</v>
      </c>
      <c r="G108" t="str">
        <f t="shared" si="5"/>
        <v>SPLINE 3150,962.53125</v>
      </c>
    </row>
    <row r="109" spans="5:7" x14ac:dyDescent="0.3">
      <c r="E109">
        <f t="shared" si="6"/>
        <v>3180</v>
      </c>
      <c r="F109">
        <f t="shared" si="7"/>
        <v>955.05399999999997</v>
      </c>
      <c r="G109" t="str">
        <f t="shared" si="5"/>
        <v>SPLINE 3180,955.054</v>
      </c>
    </row>
    <row r="110" spans="5:7" x14ac:dyDescent="0.3">
      <c r="E110">
        <f t="shared" si="6"/>
        <v>3210</v>
      </c>
      <c r="F110">
        <f t="shared" si="7"/>
        <v>947.58574999999996</v>
      </c>
      <c r="G110" t="str">
        <f t="shared" si="5"/>
        <v>SPLINE 3210,947.58575</v>
      </c>
    </row>
    <row r="111" spans="5:7" x14ac:dyDescent="0.3">
      <c r="E111">
        <f t="shared" si="6"/>
        <v>3240</v>
      </c>
      <c r="F111">
        <f t="shared" si="7"/>
        <v>940.12800000000004</v>
      </c>
      <c r="G111" t="str">
        <f t="shared" si="5"/>
        <v>SPLINE 3240,940.128</v>
      </c>
    </row>
    <row r="112" spans="5:7" x14ac:dyDescent="0.3">
      <c r="E112">
        <f t="shared" si="6"/>
        <v>3270</v>
      </c>
      <c r="F112">
        <f t="shared" si="7"/>
        <v>932.68225000000007</v>
      </c>
      <c r="G112" t="str">
        <f t="shared" si="5"/>
        <v>SPLINE 3270,932.68225</v>
      </c>
    </row>
    <row r="113" spans="5:7" x14ac:dyDescent="0.3">
      <c r="E113">
        <f t="shared" si="6"/>
        <v>3300</v>
      </c>
      <c r="F113">
        <f t="shared" si="7"/>
        <v>925.24999999999989</v>
      </c>
      <c r="G113" t="str">
        <f t="shared" si="5"/>
        <v>SPLINE 3300,925.25</v>
      </c>
    </row>
    <row r="114" spans="5:7" x14ac:dyDescent="0.3">
      <c r="E114">
        <f t="shared" si="6"/>
        <v>3330</v>
      </c>
      <c r="F114">
        <f t="shared" si="7"/>
        <v>917.83274999999992</v>
      </c>
      <c r="G114" t="str">
        <f t="shared" si="5"/>
        <v>SPLINE 3330,917.83275</v>
      </c>
    </row>
    <row r="115" spans="5:7" x14ac:dyDescent="0.3">
      <c r="E115">
        <f t="shared" si="6"/>
        <v>3360</v>
      </c>
      <c r="F115">
        <f t="shared" si="7"/>
        <v>910.43200000000002</v>
      </c>
      <c r="G115" t="str">
        <f t="shared" si="5"/>
        <v>SPLINE 3360,910.432</v>
      </c>
    </row>
    <row r="116" spans="5:7" x14ac:dyDescent="0.3">
      <c r="E116">
        <f t="shared" si="6"/>
        <v>3390</v>
      </c>
      <c r="F116">
        <f t="shared" si="7"/>
        <v>903.04925000000003</v>
      </c>
      <c r="G116" t="str">
        <f t="shared" si="5"/>
        <v>SPLINE 3390,903.04925</v>
      </c>
    </row>
    <row r="117" spans="5:7" x14ac:dyDescent="0.3">
      <c r="E117">
        <f t="shared" si="6"/>
        <v>3420</v>
      </c>
      <c r="F117">
        <f t="shared" si="7"/>
        <v>895.68600000000004</v>
      </c>
      <c r="G117" t="str">
        <f t="shared" si="5"/>
        <v>SPLINE 3420,895.686</v>
      </c>
    </row>
    <row r="118" spans="5:7" x14ac:dyDescent="0.3">
      <c r="E118">
        <f t="shared" si="6"/>
        <v>3450</v>
      </c>
      <c r="F118">
        <f t="shared" si="7"/>
        <v>888.34375</v>
      </c>
      <c r="G118" t="str">
        <f t="shared" si="5"/>
        <v>SPLINE 3450,888.34375</v>
      </c>
    </row>
    <row r="119" spans="5:7" x14ac:dyDescent="0.3">
      <c r="E119">
        <f t="shared" si="6"/>
        <v>3480</v>
      </c>
      <c r="F119">
        <f t="shared" si="7"/>
        <v>881.024</v>
      </c>
      <c r="G119" t="str">
        <f t="shared" si="5"/>
        <v>SPLINE 3480,881.024</v>
      </c>
    </row>
    <row r="120" spans="5:7" x14ac:dyDescent="0.3">
      <c r="E120">
        <f t="shared" si="6"/>
        <v>3510</v>
      </c>
      <c r="F120">
        <f t="shared" si="7"/>
        <v>873.72825000000012</v>
      </c>
      <c r="G120" t="str">
        <f t="shared" si="5"/>
        <v>SPLINE 3510,873.72825</v>
      </c>
    </row>
    <row r="121" spans="5:7" x14ac:dyDescent="0.3">
      <c r="E121">
        <f t="shared" si="6"/>
        <v>3540</v>
      </c>
      <c r="F121">
        <f t="shared" si="7"/>
        <v>866.4580000000002</v>
      </c>
      <c r="G121" t="str">
        <f t="shared" si="5"/>
        <v>SPLINE 3540,866.458</v>
      </c>
    </row>
    <row r="122" spans="5:7" x14ac:dyDescent="0.3">
      <c r="E122">
        <f t="shared" si="6"/>
        <v>3570</v>
      </c>
      <c r="F122">
        <f t="shared" si="7"/>
        <v>859.21474999999998</v>
      </c>
      <c r="G122" t="str">
        <f t="shared" si="5"/>
        <v>SPLINE 3570,859.21475</v>
      </c>
    </row>
    <row r="123" spans="5:7" x14ac:dyDescent="0.3">
      <c r="E123">
        <f t="shared" si="6"/>
        <v>3600</v>
      </c>
      <c r="F123">
        <f t="shared" si="7"/>
        <v>851.99999999999989</v>
      </c>
      <c r="G123" t="str">
        <f t="shared" si="5"/>
        <v>SPLINE 3600,852</v>
      </c>
    </row>
    <row r="124" spans="5:7" x14ac:dyDescent="0.3">
      <c r="E124">
        <f t="shared" si="6"/>
        <v>3630</v>
      </c>
      <c r="F124">
        <f t="shared" si="7"/>
        <v>844.81525000000011</v>
      </c>
      <c r="G124" t="str">
        <f t="shared" si="5"/>
        <v>SPLINE 3630,844.81525</v>
      </c>
    </row>
    <row r="125" spans="5:7" x14ac:dyDescent="0.3">
      <c r="E125">
        <f t="shared" si="6"/>
        <v>3660</v>
      </c>
      <c r="F125">
        <f t="shared" si="7"/>
        <v>837.66200000000015</v>
      </c>
      <c r="G125" t="str">
        <f t="shared" si="5"/>
        <v>SPLINE 3660,837.662</v>
      </c>
    </row>
    <row r="126" spans="5:7" x14ac:dyDescent="0.3">
      <c r="E126">
        <f t="shared" si="6"/>
        <v>3690</v>
      </c>
      <c r="F126">
        <f t="shared" si="7"/>
        <v>830.54175000000009</v>
      </c>
      <c r="G126" t="str">
        <f t="shared" si="5"/>
        <v>SPLINE 3690,830.54175</v>
      </c>
    </row>
    <row r="127" spans="5:7" x14ac:dyDescent="0.3">
      <c r="E127">
        <f t="shared" si="6"/>
        <v>3720</v>
      </c>
      <c r="F127">
        <f t="shared" si="7"/>
        <v>823.45600000000002</v>
      </c>
      <c r="G127" t="str">
        <f t="shared" si="5"/>
        <v>SPLINE 3720,823.456</v>
      </c>
    </row>
    <row r="128" spans="5:7" x14ac:dyDescent="0.3">
      <c r="E128">
        <f t="shared" si="6"/>
        <v>3750</v>
      </c>
      <c r="F128">
        <f t="shared" si="7"/>
        <v>816.40625</v>
      </c>
      <c r="G128" t="str">
        <f t="shared" si="5"/>
        <v>SPLINE 3750,816.40625</v>
      </c>
    </row>
    <row r="129" spans="5:7" x14ac:dyDescent="0.3">
      <c r="E129">
        <f t="shared" si="6"/>
        <v>3780</v>
      </c>
      <c r="F129">
        <f t="shared" si="7"/>
        <v>809.39399999999989</v>
      </c>
      <c r="G129" t="str">
        <f t="shared" si="5"/>
        <v>SPLINE 3780,809.394</v>
      </c>
    </row>
    <row r="130" spans="5:7" x14ac:dyDescent="0.3">
      <c r="E130">
        <f t="shared" si="6"/>
        <v>3810</v>
      </c>
      <c r="F130">
        <f t="shared" si="7"/>
        <v>802.42074999999988</v>
      </c>
      <c r="G130" t="str">
        <f t="shared" si="5"/>
        <v>SPLINE 3810,802.42075</v>
      </c>
    </row>
    <row r="131" spans="5:7" x14ac:dyDescent="0.3">
      <c r="E131">
        <f t="shared" si="6"/>
        <v>3840</v>
      </c>
      <c r="F131">
        <f t="shared" ref="F131:F194" si="8">($B$3/2)-(($B$3-$C$3)/2)*((3*(E131/$D$3)^2)-(2*(E131/$D$3)^3))</f>
        <v>795.48799999999994</v>
      </c>
      <c r="G131" t="str">
        <f t="shared" si="5"/>
        <v>SPLINE 3840,795.488</v>
      </c>
    </row>
    <row r="132" spans="5:7" x14ac:dyDescent="0.3">
      <c r="E132">
        <f t="shared" si="6"/>
        <v>3870</v>
      </c>
      <c r="F132">
        <f t="shared" si="8"/>
        <v>788.59725000000003</v>
      </c>
      <c r="G132" t="str">
        <f t="shared" si="5"/>
        <v>SPLINE 3870,788.59725</v>
      </c>
    </row>
    <row r="133" spans="5:7" x14ac:dyDescent="0.3">
      <c r="E133">
        <f t="shared" ref="E133:E196" si="9">E132+($D$3/200)</f>
        <v>3900</v>
      </c>
      <c r="F133">
        <f t="shared" si="8"/>
        <v>781.75</v>
      </c>
      <c r="G133" t="str">
        <f t="shared" ref="G133:G196" si="10">CONCATENATE("SPLINE ",$E133,",",$F133)</f>
        <v>SPLINE 3900,781.75</v>
      </c>
    </row>
    <row r="134" spans="5:7" x14ac:dyDescent="0.3">
      <c r="E134">
        <f t="shared" si="9"/>
        <v>3930</v>
      </c>
      <c r="F134">
        <f t="shared" si="8"/>
        <v>774.94774999999993</v>
      </c>
      <c r="G134" t="str">
        <f t="shared" si="10"/>
        <v>SPLINE 3930,774.94775</v>
      </c>
    </row>
    <row r="135" spans="5:7" x14ac:dyDescent="0.3">
      <c r="E135">
        <f t="shared" si="9"/>
        <v>3960</v>
      </c>
      <c r="F135">
        <f t="shared" si="8"/>
        <v>768.19199999999989</v>
      </c>
      <c r="G135" t="str">
        <f t="shared" si="10"/>
        <v>SPLINE 3960,768.192</v>
      </c>
    </row>
    <row r="136" spans="5:7" x14ac:dyDescent="0.3">
      <c r="E136">
        <f t="shared" si="9"/>
        <v>3990</v>
      </c>
      <c r="F136">
        <f t="shared" si="8"/>
        <v>761.48424999999997</v>
      </c>
      <c r="G136" t="str">
        <f t="shared" si="10"/>
        <v>SPLINE 3990,761.48425</v>
      </c>
    </row>
    <row r="137" spans="5:7" x14ac:dyDescent="0.3">
      <c r="E137">
        <f t="shared" si="9"/>
        <v>4020</v>
      </c>
      <c r="F137">
        <f t="shared" si="8"/>
        <v>754.82599999999991</v>
      </c>
      <c r="G137" t="str">
        <f t="shared" si="10"/>
        <v>SPLINE 4020,754.826</v>
      </c>
    </row>
    <row r="138" spans="5:7" x14ac:dyDescent="0.3">
      <c r="E138">
        <f t="shared" si="9"/>
        <v>4050</v>
      </c>
      <c r="F138">
        <f t="shared" si="8"/>
        <v>748.21874999999977</v>
      </c>
      <c r="G138" t="str">
        <f t="shared" si="10"/>
        <v>SPLINE 4050,748.21875</v>
      </c>
    </row>
    <row r="139" spans="5:7" x14ac:dyDescent="0.3">
      <c r="E139">
        <f t="shared" si="9"/>
        <v>4080</v>
      </c>
      <c r="F139">
        <f t="shared" si="8"/>
        <v>741.66399999999999</v>
      </c>
      <c r="G139" t="str">
        <f t="shared" si="10"/>
        <v>SPLINE 4080,741.664</v>
      </c>
    </row>
    <row r="140" spans="5:7" x14ac:dyDescent="0.3">
      <c r="E140">
        <f t="shared" si="9"/>
        <v>4110</v>
      </c>
      <c r="F140">
        <f t="shared" si="8"/>
        <v>735.16324999999995</v>
      </c>
      <c r="G140" t="str">
        <f t="shared" si="10"/>
        <v>SPLINE 4110,735.16325</v>
      </c>
    </row>
    <row r="141" spans="5:7" x14ac:dyDescent="0.3">
      <c r="E141">
        <f t="shared" si="9"/>
        <v>4140</v>
      </c>
      <c r="F141">
        <f t="shared" si="8"/>
        <v>728.71800000000019</v>
      </c>
      <c r="G141" t="str">
        <f t="shared" si="10"/>
        <v>SPLINE 4140,728.718</v>
      </c>
    </row>
    <row r="142" spans="5:7" x14ac:dyDescent="0.3">
      <c r="E142">
        <f t="shared" si="9"/>
        <v>4170</v>
      </c>
      <c r="F142">
        <f t="shared" si="8"/>
        <v>722.32975000000022</v>
      </c>
      <c r="G142" t="str">
        <f t="shared" si="10"/>
        <v>SPLINE 4170,722.32975</v>
      </c>
    </row>
    <row r="143" spans="5:7" x14ac:dyDescent="0.3">
      <c r="E143">
        <f t="shared" si="9"/>
        <v>4200</v>
      </c>
      <c r="F143">
        <f t="shared" si="8"/>
        <v>716.00000000000011</v>
      </c>
      <c r="G143" t="str">
        <f t="shared" si="10"/>
        <v>SPLINE 4200,716</v>
      </c>
    </row>
    <row r="144" spans="5:7" x14ac:dyDescent="0.3">
      <c r="E144">
        <f t="shared" si="9"/>
        <v>4230</v>
      </c>
      <c r="F144">
        <f t="shared" si="8"/>
        <v>709.73024999999984</v>
      </c>
      <c r="G144" t="str">
        <f t="shared" si="10"/>
        <v>SPLINE 4230,709.73025</v>
      </c>
    </row>
    <row r="145" spans="5:7" x14ac:dyDescent="0.3">
      <c r="E145">
        <f t="shared" si="9"/>
        <v>4260</v>
      </c>
      <c r="F145">
        <f t="shared" si="8"/>
        <v>703.52199999999993</v>
      </c>
      <c r="G145" t="str">
        <f t="shared" si="10"/>
        <v>SPLINE 4260,703.522</v>
      </c>
    </row>
    <row r="146" spans="5:7" x14ac:dyDescent="0.3">
      <c r="E146">
        <f t="shared" si="9"/>
        <v>4290</v>
      </c>
      <c r="F146">
        <f t="shared" si="8"/>
        <v>697.37675000000024</v>
      </c>
      <c r="G146" t="str">
        <f t="shared" si="10"/>
        <v>SPLINE 4290,697.37675</v>
      </c>
    </row>
    <row r="147" spans="5:7" x14ac:dyDescent="0.3">
      <c r="E147">
        <f t="shared" si="9"/>
        <v>4320</v>
      </c>
      <c r="F147">
        <f t="shared" si="8"/>
        <v>691.29600000000005</v>
      </c>
      <c r="G147" t="str">
        <f t="shared" si="10"/>
        <v>SPLINE 4320,691.296</v>
      </c>
    </row>
    <row r="148" spans="5:7" x14ac:dyDescent="0.3">
      <c r="E148">
        <f t="shared" si="9"/>
        <v>4350</v>
      </c>
      <c r="F148">
        <f t="shared" si="8"/>
        <v>685.28125</v>
      </c>
      <c r="G148" t="str">
        <f t="shared" si="10"/>
        <v>SPLINE 4350,685.28125</v>
      </c>
    </row>
    <row r="149" spans="5:7" x14ac:dyDescent="0.3">
      <c r="E149">
        <f t="shared" si="9"/>
        <v>4380</v>
      </c>
      <c r="F149">
        <f t="shared" si="8"/>
        <v>679.33400000000006</v>
      </c>
      <c r="G149" t="str">
        <f t="shared" si="10"/>
        <v>SPLINE 4380,679.334</v>
      </c>
    </row>
    <row r="150" spans="5:7" x14ac:dyDescent="0.3">
      <c r="E150">
        <f t="shared" si="9"/>
        <v>4410</v>
      </c>
      <c r="F150">
        <f t="shared" si="8"/>
        <v>673.45574999999997</v>
      </c>
      <c r="G150" t="str">
        <f t="shared" si="10"/>
        <v>SPLINE 4410,673.45575</v>
      </c>
    </row>
    <row r="151" spans="5:7" x14ac:dyDescent="0.3">
      <c r="E151">
        <f t="shared" si="9"/>
        <v>4440</v>
      </c>
      <c r="F151">
        <f t="shared" si="8"/>
        <v>667.64800000000014</v>
      </c>
      <c r="G151" t="str">
        <f t="shared" si="10"/>
        <v>SPLINE 4440,667.648</v>
      </c>
    </row>
    <row r="152" spans="5:7" x14ac:dyDescent="0.3">
      <c r="E152">
        <f t="shared" si="9"/>
        <v>4470</v>
      </c>
      <c r="F152">
        <f t="shared" si="8"/>
        <v>661.91225000000009</v>
      </c>
      <c r="G152" t="str">
        <f t="shared" si="10"/>
        <v>SPLINE 4470,661.91225</v>
      </c>
    </row>
    <row r="153" spans="5:7" x14ac:dyDescent="0.3">
      <c r="E153">
        <f t="shared" si="9"/>
        <v>4500</v>
      </c>
      <c r="F153">
        <f t="shared" si="8"/>
        <v>656.25</v>
      </c>
      <c r="G153" t="str">
        <f t="shared" si="10"/>
        <v>SPLINE 4500,656.25</v>
      </c>
    </row>
    <row r="154" spans="5:7" x14ac:dyDescent="0.3">
      <c r="E154">
        <f t="shared" si="9"/>
        <v>4530</v>
      </c>
      <c r="F154">
        <f t="shared" si="8"/>
        <v>650.66274999999996</v>
      </c>
      <c r="G154" t="str">
        <f t="shared" si="10"/>
        <v>SPLINE 4530,650.66275</v>
      </c>
    </row>
    <row r="155" spans="5:7" x14ac:dyDescent="0.3">
      <c r="E155">
        <f t="shared" si="9"/>
        <v>4560</v>
      </c>
      <c r="F155">
        <f t="shared" si="8"/>
        <v>645.15199999999993</v>
      </c>
      <c r="G155" t="str">
        <f t="shared" si="10"/>
        <v>SPLINE 4560,645.152</v>
      </c>
    </row>
    <row r="156" spans="5:7" x14ac:dyDescent="0.3">
      <c r="E156">
        <f t="shared" si="9"/>
        <v>4590</v>
      </c>
      <c r="F156">
        <f t="shared" si="8"/>
        <v>639.71924999999999</v>
      </c>
      <c r="G156" t="str">
        <f t="shared" si="10"/>
        <v>SPLINE 4590,639.71925</v>
      </c>
    </row>
    <row r="157" spans="5:7" x14ac:dyDescent="0.3">
      <c r="E157">
        <f t="shared" si="9"/>
        <v>4620</v>
      </c>
      <c r="F157">
        <f t="shared" si="8"/>
        <v>634.3660000000001</v>
      </c>
      <c r="G157" t="str">
        <f t="shared" si="10"/>
        <v>SPLINE 4620,634.366</v>
      </c>
    </row>
    <row r="158" spans="5:7" x14ac:dyDescent="0.3">
      <c r="E158">
        <f t="shared" si="9"/>
        <v>4650</v>
      </c>
      <c r="F158">
        <f t="shared" si="8"/>
        <v>629.09374999999977</v>
      </c>
      <c r="G158" t="str">
        <f t="shared" si="10"/>
        <v>SPLINE 4650,629.09375</v>
      </c>
    </row>
    <row r="159" spans="5:7" x14ac:dyDescent="0.3">
      <c r="E159">
        <f t="shared" si="9"/>
        <v>4680</v>
      </c>
      <c r="F159">
        <f t="shared" si="8"/>
        <v>623.90399999999988</v>
      </c>
      <c r="G159" t="str">
        <f t="shared" si="10"/>
        <v>SPLINE 4680,623.904</v>
      </c>
    </row>
    <row r="160" spans="5:7" x14ac:dyDescent="0.3">
      <c r="E160">
        <f t="shared" si="9"/>
        <v>4710</v>
      </c>
      <c r="F160">
        <f t="shared" si="8"/>
        <v>618.79824999999994</v>
      </c>
      <c r="G160" t="str">
        <f t="shared" si="10"/>
        <v>SPLINE 4710,618.79825</v>
      </c>
    </row>
    <row r="161" spans="5:7" x14ac:dyDescent="0.3">
      <c r="E161">
        <f t="shared" si="9"/>
        <v>4740</v>
      </c>
      <c r="F161">
        <f t="shared" si="8"/>
        <v>613.77799999999991</v>
      </c>
      <c r="G161" t="str">
        <f t="shared" si="10"/>
        <v>SPLINE 4740,613.778</v>
      </c>
    </row>
    <row r="162" spans="5:7" x14ac:dyDescent="0.3">
      <c r="E162">
        <f t="shared" si="9"/>
        <v>4770</v>
      </c>
      <c r="F162">
        <f t="shared" si="8"/>
        <v>608.84475000000009</v>
      </c>
      <c r="G162" t="str">
        <f t="shared" si="10"/>
        <v>SPLINE 4770,608.84475</v>
      </c>
    </row>
    <row r="163" spans="5:7" x14ac:dyDescent="0.3">
      <c r="E163">
        <f t="shared" si="9"/>
        <v>4800</v>
      </c>
      <c r="F163">
        <f t="shared" si="8"/>
        <v>603.99999999999989</v>
      </c>
      <c r="G163" t="str">
        <f t="shared" si="10"/>
        <v>SPLINE 4800,604</v>
      </c>
    </row>
    <row r="164" spans="5:7" x14ac:dyDescent="0.3">
      <c r="E164">
        <f t="shared" si="9"/>
        <v>4830</v>
      </c>
      <c r="F164">
        <f t="shared" si="8"/>
        <v>599.24525000000006</v>
      </c>
      <c r="G164" t="str">
        <f t="shared" si="10"/>
        <v>SPLINE 4830,599.24525</v>
      </c>
    </row>
    <row r="165" spans="5:7" x14ac:dyDescent="0.3">
      <c r="E165">
        <f t="shared" si="9"/>
        <v>4860</v>
      </c>
      <c r="F165">
        <f t="shared" si="8"/>
        <v>594.58199999999999</v>
      </c>
      <c r="G165" t="str">
        <f t="shared" si="10"/>
        <v>SPLINE 4860,594.582</v>
      </c>
    </row>
    <row r="166" spans="5:7" x14ac:dyDescent="0.3">
      <c r="E166">
        <f t="shared" si="9"/>
        <v>4890</v>
      </c>
      <c r="F166">
        <f t="shared" si="8"/>
        <v>590.01175000000012</v>
      </c>
      <c r="G166" t="str">
        <f t="shared" si="10"/>
        <v>SPLINE 4890,590.01175</v>
      </c>
    </row>
    <row r="167" spans="5:7" x14ac:dyDescent="0.3">
      <c r="E167">
        <f t="shared" si="9"/>
        <v>4920</v>
      </c>
      <c r="F167">
        <f t="shared" si="8"/>
        <v>585.53599999999983</v>
      </c>
      <c r="G167" t="str">
        <f t="shared" si="10"/>
        <v>SPLINE 4920,585.536</v>
      </c>
    </row>
    <row r="168" spans="5:7" x14ac:dyDescent="0.3">
      <c r="E168">
        <f t="shared" si="9"/>
        <v>4950</v>
      </c>
      <c r="F168">
        <f t="shared" si="8"/>
        <v>581.15625000000023</v>
      </c>
      <c r="G168" t="str">
        <f t="shared" si="10"/>
        <v>SPLINE 4950,581.15625</v>
      </c>
    </row>
    <row r="169" spans="5:7" x14ac:dyDescent="0.3">
      <c r="E169">
        <f t="shared" si="9"/>
        <v>4980</v>
      </c>
      <c r="F169">
        <f t="shared" si="8"/>
        <v>576.87399999999991</v>
      </c>
      <c r="G169" t="str">
        <f t="shared" si="10"/>
        <v>SPLINE 4980,576.874</v>
      </c>
    </row>
    <row r="170" spans="5:7" x14ac:dyDescent="0.3">
      <c r="E170">
        <f t="shared" si="9"/>
        <v>5010</v>
      </c>
      <c r="F170">
        <f t="shared" si="8"/>
        <v>572.69074999999998</v>
      </c>
      <c r="G170" t="str">
        <f t="shared" si="10"/>
        <v>SPLINE 5010,572.69075</v>
      </c>
    </row>
    <row r="171" spans="5:7" x14ac:dyDescent="0.3">
      <c r="E171">
        <f t="shared" si="9"/>
        <v>5040</v>
      </c>
      <c r="F171">
        <f t="shared" si="8"/>
        <v>568.60800000000017</v>
      </c>
      <c r="G171" t="str">
        <f t="shared" si="10"/>
        <v>SPLINE 5040,568.608</v>
      </c>
    </row>
    <row r="172" spans="5:7" x14ac:dyDescent="0.3">
      <c r="E172">
        <f t="shared" si="9"/>
        <v>5070</v>
      </c>
      <c r="F172">
        <f t="shared" si="8"/>
        <v>564.62725</v>
      </c>
      <c r="G172" t="str">
        <f t="shared" si="10"/>
        <v>SPLINE 5070,564.62725</v>
      </c>
    </row>
    <row r="173" spans="5:7" x14ac:dyDescent="0.3">
      <c r="E173">
        <f t="shared" si="9"/>
        <v>5100</v>
      </c>
      <c r="F173">
        <f t="shared" si="8"/>
        <v>560.75000000000034</v>
      </c>
      <c r="G173" t="str">
        <f t="shared" si="10"/>
        <v>SPLINE 5100,560.75</v>
      </c>
    </row>
    <row r="174" spans="5:7" x14ac:dyDescent="0.3">
      <c r="E174">
        <f t="shared" si="9"/>
        <v>5130</v>
      </c>
      <c r="F174">
        <f t="shared" si="8"/>
        <v>556.9777499999999</v>
      </c>
      <c r="G174" t="str">
        <f t="shared" si="10"/>
        <v>SPLINE 5130,556.97775</v>
      </c>
    </row>
    <row r="175" spans="5:7" x14ac:dyDescent="0.3">
      <c r="E175">
        <f t="shared" si="9"/>
        <v>5160</v>
      </c>
      <c r="F175">
        <f t="shared" si="8"/>
        <v>553.31200000000001</v>
      </c>
      <c r="G175" t="str">
        <f t="shared" si="10"/>
        <v>SPLINE 5160,553.312</v>
      </c>
    </row>
    <row r="176" spans="5:7" x14ac:dyDescent="0.3">
      <c r="E176">
        <f t="shared" si="9"/>
        <v>5190</v>
      </c>
      <c r="F176">
        <f t="shared" si="8"/>
        <v>549.75425000000007</v>
      </c>
      <c r="G176" t="str">
        <f t="shared" si="10"/>
        <v>SPLINE 5190,549.75425</v>
      </c>
    </row>
    <row r="177" spans="5:7" x14ac:dyDescent="0.3">
      <c r="E177">
        <f t="shared" si="9"/>
        <v>5220</v>
      </c>
      <c r="F177">
        <f t="shared" si="8"/>
        <v>546.30599999999993</v>
      </c>
      <c r="G177" t="str">
        <f t="shared" si="10"/>
        <v>SPLINE 5220,546.306</v>
      </c>
    </row>
    <row r="178" spans="5:7" x14ac:dyDescent="0.3">
      <c r="E178">
        <f t="shared" si="9"/>
        <v>5250</v>
      </c>
      <c r="F178">
        <f t="shared" si="8"/>
        <v>542.96875</v>
      </c>
      <c r="G178" t="str">
        <f t="shared" si="10"/>
        <v>SPLINE 5250,542.96875</v>
      </c>
    </row>
    <row r="179" spans="5:7" x14ac:dyDescent="0.3">
      <c r="E179">
        <f t="shared" si="9"/>
        <v>5280</v>
      </c>
      <c r="F179">
        <f t="shared" si="8"/>
        <v>539.74400000000003</v>
      </c>
      <c r="G179" t="str">
        <f t="shared" si="10"/>
        <v>SPLINE 5280,539.744</v>
      </c>
    </row>
    <row r="180" spans="5:7" x14ac:dyDescent="0.3">
      <c r="E180">
        <f t="shared" si="9"/>
        <v>5310</v>
      </c>
      <c r="F180">
        <f t="shared" si="8"/>
        <v>536.63324999999975</v>
      </c>
      <c r="G180" t="str">
        <f t="shared" si="10"/>
        <v>SPLINE 5310,536.63325</v>
      </c>
    </row>
    <row r="181" spans="5:7" x14ac:dyDescent="0.3">
      <c r="E181">
        <f t="shared" si="9"/>
        <v>5340</v>
      </c>
      <c r="F181">
        <f t="shared" si="8"/>
        <v>533.63800000000003</v>
      </c>
      <c r="G181" t="str">
        <f t="shared" si="10"/>
        <v>SPLINE 5340,533.638</v>
      </c>
    </row>
    <row r="182" spans="5:7" x14ac:dyDescent="0.3">
      <c r="E182">
        <f t="shared" si="9"/>
        <v>5370</v>
      </c>
      <c r="F182">
        <f t="shared" si="8"/>
        <v>530.75975000000005</v>
      </c>
      <c r="G182" t="str">
        <f t="shared" si="10"/>
        <v>SPLINE 5370,530.75975</v>
      </c>
    </row>
    <row r="183" spans="5:7" x14ac:dyDescent="0.3">
      <c r="E183">
        <f t="shared" si="9"/>
        <v>5400</v>
      </c>
      <c r="F183">
        <f t="shared" si="8"/>
        <v>528</v>
      </c>
      <c r="G183" t="str">
        <f t="shared" si="10"/>
        <v>SPLINE 5400,528</v>
      </c>
    </row>
    <row r="184" spans="5:7" x14ac:dyDescent="0.3">
      <c r="E184">
        <f t="shared" si="9"/>
        <v>5430</v>
      </c>
      <c r="F184">
        <f t="shared" si="8"/>
        <v>525.36024999999984</v>
      </c>
      <c r="G184" t="str">
        <f t="shared" si="10"/>
        <v>SPLINE 5430,525.36025</v>
      </c>
    </row>
    <row r="185" spans="5:7" x14ac:dyDescent="0.3">
      <c r="E185">
        <f t="shared" si="9"/>
        <v>5460</v>
      </c>
      <c r="F185">
        <f t="shared" si="8"/>
        <v>522.84199999999998</v>
      </c>
      <c r="G185" t="str">
        <f t="shared" si="10"/>
        <v>SPLINE 5460,522.842</v>
      </c>
    </row>
    <row r="186" spans="5:7" x14ac:dyDescent="0.3">
      <c r="E186">
        <f t="shared" si="9"/>
        <v>5490</v>
      </c>
      <c r="F186">
        <f t="shared" si="8"/>
        <v>520.44674999999984</v>
      </c>
      <c r="G186" t="str">
        <f t="shared" si="10"/>
        <v>SPLINE 5490,520.44675</v>
      </c>
    </row>
    <row r="187" spans="5:7" x14ac:dyDescent="0.3">
      <c r="E187">
        <f t="shared" si="9"/>
        <v>5520</v>
      </c>
      <c r="F187">
        <f t="shared" si="8"/>
        <v>518.17599999999993</v>
      </c>
      <c r="G187" t="str">
        <f t="shared" si="10"/>
        <v>SPLINE 5520,518.176</v>
      </c>
    </row>
    <row r="188" spans="5:7" x14ac:dyDescent="0.3">
      <c r="E188">
        <f t="shared" si="9"/>
        <v>5550</v>
      </c>
      <c r="F188">
        <f t="shared" si="8"/>
        <v>516.03124999999977</v>
      </c>
      <c r="G188" t="str">
        <f t="shared" si="10"/>
        <v>SPLINE 5550,516.03125</v>
      </c>
    </row>
    <row r="189" spans="5:7" x14ac:dyDescent="0.3">
      <c r="E189">
        <f t="shared" si="9"/>
        <v>5580</v>
      </c>
      <c r="F189">
        <f t="shared" si="8"/>
        <v>514.01399999999978</v>
      </c>
      <c r="G189" t="str">
        <f t="shared" si="10"/>
        <v>SPLINE 5580,514.014</v>
      </c>
    </row>
    <row r="190" spans="5:7" x14ac:dyDescent="0.3">
      <c r="E190">
        <f t="shared" si="9"/>
        <v>5610</v>
      </c>
      <c r="F190">
        <f t="shared" si="8"/>
        <v>512.12574999999981</v>
      </c>
      <c r="G190" t="str">
        <f t="shared" si="10"/>
        <v>SPLINE 5610,512.12575</v>
      </c>
    </row>
    <row r="191" spans="5:7" x14ac:dyDescent="0.3">
      <c r="E191">
        <f t="shared" si="9"/>
        <v>5640</v>
      </c>
      <c r="F191">
        <f t="shared" si="8"/>
        <v>510.36799999999994</v>
      </c>
      <c r="G191" t="str">
        <f t="shared" si="10"/>
        <v>SPLINE 5640,510.368</v>
      </c>
    </row>
    <row r="192" spans="5:7" x14ac:dyDescent="0.3">
      <c r="E192">
        <f t="shared" si="9"/>
        <v>5670</v>
      </c>
      <c r="F192">
        <f t="shared" si="8"/>
        <v>508.74224999999979</v>
      </c>
      <c r="G192" t="str">
        <f t="shared" si="10"/>
        <v>SPLINE 5670,508.74225</v>
      </c>
    </row>
    <row r="193" spans="5:7" x14ac:dyDescent="0.3">
      <c r="E193">
        <f t="shared" si="9"/>
        <v>5700</v>
      </c>
      <c r="F193">
        <f t="shared" si="8"/>
        <v>507.24999999999977</v>
      </c>
      <c r="G193" t="str">
        <f t="shared" si="10"/>
        <v>SPLINE 5700,507.25</v>
      </c>
    </row>
    <row r="194" spans="5:7" x14ac:dyDescent="0.3">
      <c r="E194">
        <f t="shared" si="9"/>
        <v>5730</v>
      </c>
      <c r="F194">
        <f t="shared" si="8"/>
        <v>505.89274999999986</v>
      </c>
      <c r="G194" t="str">
        <f t="shared" si="10"/>
        <v>SPLINE 5730,505.89275</v>
      </c>
    </row>
    <row r="195" spans="5:7" x14ac:dyDescent="0.3">
      <c r="E195">
        <f t="shared" si="9"/>
        <v>5760</v>
      </c>
      <c r="F195">
        <f t="shared" ref="F195:F203" si="11">($B$3/2)-(($B$3-$C$3)/2)*((3*(E195/$D$3)^2)-(2*(E195/$D$3)^3))</f>
        <v>504.6719999999998</v>
      </c>
      <c r="G195" t="str">
        <f t="shared" si="10"/>
        <v>SPLINE 5760,504.672</v>
      </c>
    </row>
    <row r="196" spans="5:7" x14ac:dyDescent="0.3">
      <c r="E196">
        <f t="shared" si="9"/>
        <v>5790</v>
      </c>
      <c r="F196">
        <f t="shared" si="11"/>
        <v>503.58924999999988</v>
      </c>
      <c r="G196" t="str">
        <f t="shared" si="10"/>
        <v>SPLINE 5790,503.58925</v>
      </c>
    </row>
    <row r="197" spans="5:7" x14ac:dyDescent="0.3">
      <c r="E197">
        <f t="shared" ref="E197:E203" si="12">E196+($D$3/200)</f>
        <v>5820</v>
      </c>
      <c r="F197">
        <f t="shared" si="11"/>
        <v>502.64600000000019</v>
      </c>
      <c r="G197" t="str">
        <f t="shared" ref="G197:G203" si="13">CONCATENATE("SPLINE ",$E197,",",$F197)</f>
        <v>SPLINE 5820,502.646</v>
      </c>
    </row>
    <row r="198" spans="5:7" x14ac:dyDescent="0.3">
      <c r="E198">
        <f t="shared" si="12"/>
        <v>5850</v>
      </c>
      <c r="F198">
        <f t="shared" si="11"/>
        <v>501.84375000000011</v>
      </c>
      <c r="G198" t="str">
        <f t="shared" si="13"/>
        <v>SPLINE 5850,501.84375</v>
      </c>
    </row>
    <row r="199" spans="5:7" x14ac:dyDescent="0.3">
      <c r="E199">
        <f t="shared" si="12"/>
        <v>5880</v>
      </c>
      <c r="F199">
        <f t="shared" si="11"/>
        <v>501.18400000000008</v>
      </c>
      <c r="G199" t="str">
        <f t="shared" si="13"/>
        <v>SPLINE 5880,501.184</v>
      </c>
    </row>
    <row r="200" spans="5:7" x14ac:dyDescent="0.3">
      <c r="E200">
        <f t="shared" si="12"/>
        <v>5910</v>
      </c>
      <c r="F200">
        <f t="shared" si="11"/>
        <v>500.66825000000017</v>
      </c>
      <c r="G200" t="str">
        <f t="shared" si="13"/>
        <v>SPLINE 5910,500.66825</v>
      </c>
    </row>
    <row r="201" spans="5:7" x14ac:dyDescent="0.3">
      <c r="E201">
        <f t="shared" si="12"/>
        <v>5940</v>
      </c>
      <c r="F201">
        <f t="shared" si="11"/>
        <v>500.29800000000012</v>
      </c>
      <c r="G201" t="str">
        <f t="shared" si="13"/>
        <v>SPLINE 5940,500.298</v>
      </c>
    </row>
    <row r="202" spans="5:7" x14ac:dyDescent="0.3">
      <c r="E202">
        <f t="shared" si="12"/>
        <v>5970</v>
      </c>
      <c r="F202">
        <f t="shared" si="11"/>
        <v>500.07474999999999</v>
      </c>
      <c r="G202" t="str">
        <f t="shared" si="13"/>
        <v>SPLINE 5970,500.07475</v>
      </c>
    </row>
    <row r="203" spans="5:7" x14ac:dyDescent="0.3">
      <c r="E203">
        <f t="shared" si="12"/>
        <v>6000</v>
      </c>
      <c r="F203">
        <f t="shared" si="11"/>
        <v>500</v>
      </c>
      <c r="G203" t="str">
        <f t="shared" si="13"/>
        <v>SPLINE 6000,500</v>
      </c>
    </row>
  </sheetData>
  <sheetProtection algorithmName="SHA-512" hashValue="7fKJ57zrSWnQ7VBArAzRur3APcY5LoA6rGX1zTb36wYkZnp5LImIoz7q7hiA6q6LrYo2/5up4jx7ct6Rw2Qe/Q==" saltValue="tt80hjVrq0cWEYz+K04+CA==" spinCount="100000" sheet="1" objects="1" scenarios="1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ACF1-AF9D-4086-A894-8FF1C30A2D9A}">
  <sheetPr codeName="Sheet2"/>
  <dimension ref="A1:G203"/>
  <sheetViews>
    <sheetView zoomScale="115" zoomScaleNormal="115" workbookViewId="0">
      <selection activeCell="F2" sqref="A2:F2"/>
    </sheetView>
  </sheetViews>
  <sheetFormatPr defaultColWidth="0" defaultRowHeight="16.5" zeroHeight="1" x14ac:dyDescent="0.3"/>
  <cols>
    <col min="1" max="6" width="9" customWidth="1"/>
    <col min="7" max="7" width="29.625" bestFit="1" customWidth="1"/>
    <col min="8" max="16384" width="9" hidden="1"/>
  </cols>
  <sheetData>
    <row r="1" spans="1:7" x14ac:dyDescent="0.3">
      <c r="A1" s="5" t="s">
        <v>8</v>
      </c>
    </row>
    <row r="2" spans="1:7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</row>
    <row r="3" spans="1:7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>
        <f>1/4*(($B$3+$C$3)+($B$3-$C$3)*COS(PI()*$E3/$D$3))</f>
        <v>1500</v>
      </c>
      <c r="G3" t="str">
        <f>CONCATENATE("SPLINE ",$E3,",",$F3)</f>
        <v>SPLINE 0,1500</v>
      </c>
    </row>
    <row r="4" spans="1:7" x14ac:dyDescent="0.3">
      <c r="E4">
        <f>E3+($D$3/200)</f>
        <v>30</v>
      </c>
      <c r="F4">
        <f t="shared" ref="F4:F67" si="0">1/4*(($B$3+$C$3)+($B$3-$C$3)*COS(PI()*$E4/$D$3))</f>
        <v>1499.9383162408303</v>
      </c>
      <c r="G4" t="str">
        <f t="shared" ref="G4:G67" si="1">CONCATENATE("SPLINE ",$E4,",",$F4)</f>
        <v>SPLINE 30,1499.93831624083</v>
      </c>
    </row>
    <row r="5" spans="1:7" x14ac:dyDescent="0.3">
      <c r="E5">
        <f t="shared" ref="E5:E68" si="2">E4+($D$3/200)</f>
        <v>60</v>
      </c>
      <c r="F5">
        <f t="shared" si="0"/>
        <v>1499.7532801828659</v>
      </c>
      <c r="G5" t="str">
        <f t="shared" si="1"/>
        <v>SPLINE 60,1499.75328018287</v>
      </c>
    </row>
    <row r="6" spans="1:7" x14ac:dyDescent="0.3">
      <c r="E6">
        <f t="shared" si="2"/>
        <v>90</v>
      </c>
      <c r="F6">
        <f t="shared" si="0"/>
        <v>1499.4449374809851</v>
      </c>
      <c r="G6" t="str">
        <f t="shared" si="1"/>
        <v>SPLINE 90,1499.44493748099</v>
      </c>
    </row>
    <row r="7" spans="1:7" x14ac:dyDescent="0.3">
      <c r="E7">
        <f t="shared" si="2"/>
        <v>120</v>
      </c>
      <c r="F7">
        <f t="shared" si="0"/>
        <v>1499.0133642141359</v>
      </c>
      <c r="G7" t="str">
        <f t="shared" si="1"/>
        <v>SPLINE 120,1499.01336421414</v>
      </c>
    </row>
    <row r="8" spans="1:7" x14ac:dyDescent="0.3">
      <c r="E8">
        <f t="shared" si="2"/>
        <v>150</v>
      </c>
      <c r="F8">
        <f t="shared" si="0"/>
        <v>1498.458666866564</v>
      </c>
      <c r="G8" t="str">
        <f t="shared" si="1"/>
        <v>SPLINE 150,1498.45866686656</v>
      </c>
    </row>
    <row r="9" spans="1:7" x14ac:dyDescent="0.3">
      <c r="E9">
        <f t="shared" si="2"/>
        <v>180</v>
      </c>
      <c r="F9">
        <f t="shared" si="0"/>
        <v>1497.78098230154</v>
      </c>
      <c r="G9" t="str">
        <f t="shared" si="1"/>
        <v>SPLINE 180,1497.78098230154</v>
      </c>
    </row>
    <row r="10" spans="1:7" x14ac:dyDescent="0.3">
      <c r="E10">
        <f t="shared" si="2"/>
        <v>210</v>
      </c>
      <c r="F10">
        <f t="shared" si="0"/>
        <v>1496.9804777275899</v>
      </c>
      <c r="G10" t="str">
        <f t="shared" si="1"/>
        <v>SPLINE 210,1496.98047772759</v>
      </c>
    </row>
    <row r="11" spans="1:7" x14ac:dyDescent="0.3">
      <c r="E11">
        <f t="shared" si="2"/>
        <v>240</v>
      </c>
      <c r="F11">
        <f t="shared" si="0"/>
        <v>1496.0573506572389</v>
      </c>
      <c r="G11" t="str">
        <f t="shared" si="1"/>
        <v>SPLINE 240,1496.05735065724</v>
      </c>
    </row>
    <row r="12" spans="1:7" x14ac:dyDescent="0.3">
      <c r="E12">
        <f t="shared" si="2"/>
        <v>270</v>
      </c>
      <c r="F12">
        <f t="shared" si="0"/>
        <v>1495.0118288582787</v>
      </c>
      <c r="G12" t="str">
        <f t="shared" si="1"/>
        <v>SPLINE 270,1495.01182885828</v>
      </c>
    </row>
    <row r="13" spans="1:7" x14ac:dyDescent="0.3">
      <c r="E13">
        <f t="shared" si="2"/>
        <v>300</v>
      </c>
      <c r="F13">
        <f t="shared" si="0"/>
        <v>1493.8441702975688</v>
      </c>
      <c r="G13" t="str">
        <f t="shared" si="1"/>
        <v>SPLINE 300,1493.84417029757</v>
      </c>
    </row>
    <row r="14" spans="1:7" x14ac:dyDescent="0.3">
      <c r="E14">
        <f t="shared" si="2"/>
        <v>330</v>
      </c>
      <c r="F14">
        <f t="shared" si="0"/>
        <v>1492.554663077387</v>
      </c>
      <c r="G14" t="str">
        <f t="shared" si="1"/>
        <v>SPLINE 330,1492.55466307739</v>
      </c>
    </row>
    <row r="15" spans="1:7" x14ac:dyDescent="0.3">
      <c r="E15">
        <f t="shared" si="2"/>
        <v>360</v>
      </c>
      <c r="F15">
        <f t="shared" si="0"/>
        <v>1491.1436253643444</v>
      </c>
      <c r="G15" t="str">
        <f t="shared" si="1"/>
        <v>SPLINE 360,1491.14362536434</v>
      </c>
    </row>
    <row r="16" spans="1:7" x14ac:dyDescent="0.3">
      <c r="E16">
        <f t="shared" si="2"/>
        <v>390</v>
      </c>
      <c r="F16">
        <f t="shared" si="0"/>
        <v>1489.6114053108829</v>
      </c>
      <c r="G16" t="str">
        <f t="shared" si="1"/>
        <v>SPLINE 390,1489.61140531088</v>
      </c>
    </row>
    <row r="17" spans="5:7" x14ac:dyDescent="0.3">
      <c r="E17">
        <f t="shared" si="2"/>
        <v>420</v>
      </c>
      <c r="F17">
        <f t="shared" si="0"/>
        <v>1487.9583809693736</v>
      </c>
      <c r="G17" t="str">
        <f t="shared" si="1"/>
        <v>SPLINE 420,1487.95838096937</v>
      </c>
    </row>
    <row r="18" spans="5:7" x14ac:dyDescent="0.3">
      <c r="E18">
        <f t="shared" si="2"/>
        <v>450</v>
      </c>
      <c r="F18">
        <f t="shared" si="0"/>
        <v>1486.1849601988383</v>
      </c>
      <c r="G18" t="str">
        <f t="shared" si="1"/>
        <v>SPLINE 450,1486.18496019884</v>
      </c>
    </row>
    <row r="19" spans="5:7" x14ac:dyDescent="0.3">
      <c r="E19">
        <f t="shared" si="2"/>
        <v>480</v>
      </c>
      <c r="F19">
        <f t="shared" si="0"/>
        <v>1484.2915805643156</v>
      </c>
      <c r="G19" t="str">
        <f t="shared" si="1"/>
        <v>SPLINE 480,1484.29158056432</v>
      </c>
    </row>
    <row r="20" spans="5:7" x14ac:dyDescent="0.3">
      <c r="E20">
        <f t="shared" si="2"/>
        <v>510</v>
      </c>
      <c r="F20">
        <f t="shared" si="0"/>
        <v>1482.2787092288991</v>
      </c>
      <c r="G20" t="str">
        <f t="shared" si="1"/>
        <v>SPLINE 510,1482.2787092289</v>
      </c>
    </row>
    <row r="21" spans="5:7" x14ac:dyDescent="0.3">
      <c r="E21">
        <f t="shared" si="2"/>
        <v>540</v>
      </c>
      <c r="F21">
        <f t="shared" si="0"/>
        <v>1480.1468428384715</v>
      </c>
      <c r="G21" t="str">
        <f t="shared" si="1"/>
        <v>SPLINE 540,1480.14684283847</v>
      </c>
    </row>
    <row r="22" spans="5:7" x14ac:dyDescent="0.3">
      <c r="E22">
        <f t="shared" si="2"/>
        <v>570</v>
      </c>
      <c r="F22">
        <f t="shared" si="0"/>
        <v>1477.8965073991651</v>
      </c>
      <c r="G22" t="str">
        <f t="shared" si="1"/>
        <v>SPLINE 570,1477.89650739917</v>
      </c>
    </row>
    <row r="23" spans="5:7" x14ac:dyDescent="0.3">
      <c r="E23">
        <f t="shared" si="2"/>
        <v>600</v>
      </c>
      <c r="F23">
        <f t="shared" si="0"/>
        <v>1475.5282581475767</v>
      </c>
      <c r="G23" t="str">
        <f t="shared" si="1"/>
        <v>SPLINE 600,1475.52825814758</v>
      </c>
    </row>
    <row r="24" spans="5:7" x14ac:dyDescent="0.3">
      <c r="E24">
        <f t="shared" si="2"/>
        <v>630</v>
      </c>
      <c r="F24">
        <f t="shared" si="0"/>
        <v>1473.0426794137727</v>
      </c>
      <c r="G24" t="str">
        <f t="shared" si="1"/>
        <v>SPLINE 630,1473.04267941377</v>
      </c>
    </row>
    <row r="25" spans="5:7" x14ac:dyDescent="0.3">
      <c r="E25">
        <f t="shared" si="2"/>
        <v>660</v>
      </c>
      <c r="F25">
        <f t="shared" si="0"/>
        <v>1470.4403844771127</v>
      </c>
      <c r="G25" t="str">
        <f t="shared" si="1"/>
        <v>SPLINE 660,1470.44038447711</v>
      </c>
    </row>
    <row r="26" spans="5:7" x14ac:dyDescent="0.3">
      <c r="E26">
        <f t="shared" si="2"/>
        <v>690</v>
      </c>
      <c r="F26">
        <f t="shared" si="0"/>
        <v>1467.7220154149336</v>
      </c>
      <c r="G26" t="str">
        <f t="shared" si="1"/>
        <v>SPLINE 690,1467.72201541493</v>
      </c>
    </row>
    <row r="27" spans="5:7" x14ac:dyDescent="0.3">
      <c r="E27">
        <f t="shared" si="2"/>
        <v>720</v>
      </c>
      <c r="F27">
        <f t="shared" si="0"/>
        <v>1464.8882429441258</v>
      </c>
      <c r="G27" t="str">
        <f t="shared" si="1"/>
        <v>SPLINE 720,1464.88824294413</v>
      </c>
    </row>
    <row r="28" spans="5:7" x14ac:dyDescent="0.3">
      <c r="E28">
        <f t="shared" si="2"/>
        <v>750</v>
      </c>
      <c r="F28">
        <f t="shared" si="0"/>
        <v>1461.9397662556435</v>
      </c>
      <c r="G28" t="str">
        <f t="shared" si="1"/>
        <v>SPLINE 750,1461.93976625564</v>
      </c>
    </row>
    <row r="29" spans="5:7" x14ac:dyDescent="0.3">
      <c r="E29">
        <f t="shared" si="2"/>
        <v>780</v>
      </c>
      <c r="F29">
        <f t="shared" si="0"/>
        <v>1458.8773128419905</v>
      </c>
      <c r="G29" t="str">
        <f t="shared" si="1"/>
        <v>SPLINE 780,1458.87731284199</v>
      </c>
    </row>
    <row r="30" spans="5:7" x14ac:dyDescent="0.3">
      <c r="E30">
        <f t="shared" si="2"/>
        <v>810</v>
      </c>
      <c r="F30">
        <f t="shared" si="0"/>
        <v>1455.7016383177227</v>
      </c>
      <c r="G30" t="str">
        <f t="shared" si="1"/>
        <v>SPLINE 810,1455.70163831772</v>
      </c>
    </row>
    <row r="31" spans="5:7" x14ac:dyDescent="0.3">
      <c r="E31">
        <f t="shared" si="2"/>
        <v>840</v>
      </c>
      <c r="F31">
        <f t="shared" si="0"/>
        <v>1452.4135262330099</v>
      </c>
      <c r="G31" t="str">
        <f t="shared" si="1"/>
        <v>SPLINE 840,1452.41352623301</v>
      </c>
    </row>
    <row r="32" spans="5:7" x14ac:dyDescent="0.3">
      <c r="E32">
        <f t="shared" si="2"/>
        <v>870</v>
      </c>
      <c r="F32">
        <f t="shared" si="0"/>
        <v>1449.0137878803077</v>
      </c>
      <c r="G32" t="str">
        <f t="shared" si="1"/>
        <v>SPLINE 870,1449.01378788031</v>
      </c>
    </row>
    <row r="33" spans="5:7" x14ac:dyDescent="0.3">
      <c r="E33">
        <f t="shared" si="2"/>
        <v>900</v>
      </c>
      <c r="F33">
        <f t="shared" si="0"/>
        <v>1445.5032620941838</v>
      </c>
      <c r="G33" t="str">
        <f t="shared" si="1"/>
        <v>SPLINE 900,1445.50326209418</v>
      </c>
    </row>
    <row r="34" spans="5:7" x14ac:dyDescent="0.3">
      <c r="E34">
        <f t="shared" si="2"/>
        <v>930</v>
      </c>
      <c r="F34">
        <f t="shared" si="0"/>
        <v>1441.8828150443467</v>
      </c>
      <c r="G34" t="str">
        <f t="shared" si="1"/>
        <v>SPLINE 930,1441.88281504435</v>
      </c>
    </row>
    <row r="35" spans="5:7" x14ac:dyDescent="0.3">
      <c r="E35">
        <f t="shared" si="2"/>
        <v>960</v>
      </c>
      <c r="F35">
        <f t="shared" si="0"/>
        <v>1438.1533400219319</v>
      </c>
      <c r="G35" t="str">
        <f t="shared" si="1"/>
        <v>SPLINE 960,1438.15334002193</v>
      </c>
    </row>
    <row r="36" spans="5:7" x14ac:dyDescent="0.3">
      <c r="E36">
        <f t="shared" si="2"/>
        <v>990</v>
      </c>
      <c r="F36">
        <f t="shared" si="0"/>
        <v>1434.3157572190955</v>
      </c>
      <c r="G36" t="str">
        <f t="shared" si="1"/>
        <v>SPLINE 990,1434.3157572191</v>
      </c>
    </row>
    <row r="37" spans="5:7" x14ac:dyDescent="0.3">
      <c r="E37">
        <f t="shared" si="2"/>
        <v>1020</v>
      </c>
      <c r="F37">
        <f t="shared" si="0"/>
        <v>1430.3710135019719</v>
      </c>
      <c r="G37" t="str">
        <f t="shared" si="1"/>
        <v>SPLINE 1020,1430.37101350197</v>
      </c>
    </row>
    <row r="38" spans="5:7" x14ac:dyDescent="0.3">
      <c r="E38">
        <f t="shared" si="2"/>
        <v>1050</v>
      </c>
      <c r="F38">
        <f t="shared" si="0"/>
        <v>1426.3200821770461</v>
      </c>
      <c r="G38" t="str">
        <f t="shared" si="1"/>
        <v>SPLINE 1050,1426.32008217705</v>
      </c>
    </row>
    <row r="39" spans="5:7" x14ac:dyDescent="0.3">
      <c r="E39">
        <f t="shared" si="2"/>
        <v>1080</v>
      </c>
      <c r="F39">
        <f t="shared" si="0"/>
        <v>1422.1639627510076</v>
      </c>
      <c r="G39" t="str">
        <f t="shared" si="1"/>
        <v>SPLINE 1080,1422.16396275101</v>
      </c>
    </row>
    <row r="40" spans="5:7" x14ac:dyDescent="0.3">
      <c r="E40">
        <f t="shared" si="2"/>
        <v>1110</v>
      </c>
      <c r="F40">
        <f t="shared" si="0"/>
        <v>1417.903680684135</v>
      </c>
      <c r="G40" t="str">
        <f t="shared" si="1"/>
        <v>SPLINE 1110,1417.90368068413</v>
      </c>
    </row>
    <row r="41" spans="5:7" x14ac:dyDescent="0.3">
      <c r="E41">
        <f t="shared" si="2"/>
        <v>1140</v>
      </c>
      <c r="F41">
        <f t="shared" si="0"/>
        <v>1413.540287137281</v>
      </c>
      <c r="G41" t="str">
        <f t="shared" si="1"/>
        <v>SPLINE 1140,1413.54028713728</v>
      </c>
    </row>
    <row r="42" spans="5:7" x14ac:dyDescent="0.3">
      <c r="E42">
        <f t="shared" si="2"/>
        <v>1170</v>
      </c>
      <c r="F42">
        <f t="shared" si="0"/>
        <v>1409.0748587125117</v>
      </c>
      <c r="G42" t="str">
        <f t="shared" si="1"/>
        <v>SPLINE 1170,1409.07485871251</v>
      </c>
    </row>
    <row r="43" spans="5:7" x14ac:dyDescent="0.3">
      <c r="E43">
        <f t="shared" si="2"/>
        <v>1200</v>
      </c>
      <c r="F43">
        <f t="shared" si="0"/>
        <v>1404.5084971874737</v>
      </c>
      <c r="G43" t="str">
        <f t="shared" si="1"/>
        <v>SPLINE 1200,1404.50849718747</v>
      </c>
    </row>
    <row r="44" spans="5:7" x14ac:dyDescent="0.3">
      <c r="E44">
        <f t="shared" si="2"/>
        <v>1230</v>
      </c>
      <c r="F44">
        <f t="shared" si="0"/>
        <v>1399.8423292435452</v>
      </c>
      <c r="G44" t="str">
        <f t="shared" si="1"/>
        <v>SPLINE 1230,1399.84232924355</v>
      </c>
    </row>
    <row r="45" spans="5:7" x14ac:dyDescent="0.3">
      <c r="E45">
        <f t="shared" si="2"/>
        <v>1260</v>
      </c>
      <c r="F45">
        <f t="shared" si="0"/>
        <v>1395.0775061878451</v>
      </c>
      <c r="G45" t="str">
        <f t="shared" si="1"/>
        <v>SPLINE 1260,1395.07750618785</v>
      </c>
    </row>
    <row r="46" spans="5:7" x14ac:dyDescent="0.3">
      <c r="E46">
        <f t="shared" si="2"/>
        <v>1290</v>
      </c>
      <c r="F46">
        <f t="shared" si="0"/>
        <v>1390.2152036691648</v>
      </c>
      <c r="G46" t="str">
        <f t="shared" si="1"/>
        <v>SPLINE 1290,1390.21520366916</v>
      </c>
    </row>
    <row r="47" spans="5:7" x14ac:dyDescent="0.3">
      <c r="E47">
        <f t="shared" si="2"/>
        <v>1320</v>
      </c>
      <c r="F47">
        <f t="shared" si="0"/>
        <v>1385.2566213878947</v>
      </c>
      <c r="G47" t="str">
        <f t="shared" si="1"/>
        <v>SPLINE 1320,1385.25662138789</v>
      </c>
    </row>
    <row r="48" spans="5:7" x14ac:dyDescent="0.3">
      <c r="E48">
        <f t="shared" si="2"/>
        <v>1350</v>
      </c>
      <c r="F48">
        <f t="shared" si="0"/>
        <v>1380.2029828000154</v>
      </c>
      <c r="G48" t="str">
        <f t="shared" si="1"/>
        <v>SPLINE 1350,1380.20298280002</v>
      </c>
    </row>
    <row r="49" spans="5:7" x14ac:dyDescent="0.3">
      <c r="E49">
        <f t="shared" si="2"/>
        <v>1380</v>
      </c>
      <c r="F49">
        <f t="shared" si="0"/>
        <v>1375.0555348152297</v>
      </c>
      <c r="G49" t="str">
        <f t="shared" si="1"/>
        <v>SPLINE 1380,1375.05553481523</v>
      </c>
    </row>
    <row r="50" spans="5:7" x14ac:dyDescent="0.3">
      <c r="E50">
        <f t="shared" si="2"/>
        <v>1410</v>
      </c>
      <c r="F50">
        <f t="shared" si="0"/>
        <v>1369.8155474893049</v>
      </c>
      <c r="G50" t="str">
        <f t="shared" si="1"/>
        <v>SPLINE 1410,1369.8155474893</v>
      </c>
    </row>
    <row r="51" spans="5:7" x14ac:dyDescent="0.3">
      <c r="E51">
        <f t="shared" si="2"/>
        <v>1440</v>
      </c>
      <c r="F51">
        <f t="shared" si="0"/>
        <v>1364.4843137107057</v>
      </c>
      <c r="G51" t="str">
        <f t="shared" si="1"/>
        <v>SPLINE 1440,1364.48431371071</v>
      </c>
    </row>
    <row r="52" spans="5:7" x14ac:dyDescent="0.3">
      <c r="E52">
        <f t="shared" si="2"/>
        <v>1470</v>
      </c>
      <c r="F52">
        <f t="shared" si="0"/>
        <v>1359.0631488815943</v>
      </c>
      <c r="G52" t="str">
        <f t="shared" si="1"/>
        <v>SPLINE 1470,1359.06314888159</v>
      </c>
    </row>
    <row r="53" spans="5:7" x14ac:dyDescent="0.3">
      <c r="E53">
        <f t="shared" si="2"/>
        <v>1500</v>
      </c>
      <c r="F53">
        <f t="shared" si="0"/>
        <v>1353.5533905932739</v>
      </c>
      <c r="G53" t="str">
        <f t="shared" si="1"/>
        <v>SPLINE 1500,1353.55339059327</v>
      </c>
    </row>
    <row r="54" spans="5:7" x14ac:dyDescent="0.3">
      <c r="E54">
        <f t="shared" si="2"/>
        <v>1530</v>
      </c>
      <c r="F54">
        <f t="shared" si="0"/>
        <v>1347.9563982961572</v>
      </c>
      <c r="G54" t="str">
        <f t="shared" si="1"/>
        <v>SPLINE 1530,1347.95639829616</v>
      </c>
    </row>
    <row r="55" spans="5:7" x14ac:dyDescent="0.3">
      <c r="E55">
        <f t="shared" si="2"/>
        <v>1560</v>
      </c>
      <c r="F55">
        <f t="shared" si="0"/>
        <v>1342.2735529643444</v>
      </c>
      <c r="G55" t="str">
        <f t="shared" si="1"/>
        <v>SPLINE 1560,1342.27355296434</v>
      </c>
    </row>
    <row r="56" spans="5:7" x14ac:dyDescent="0.3">
      <c r="E56">
        <f t="shared" si="2"/>
        <v>1590</v>
      </c>
      <c r="F56">
        <f t="shared" si="0"/>
        <v>1336.5062567548866</v>
      </c>
      <c r="G56" t="str">
        <f t="shared" si="1"/>
        <v>SPLINE 1590,1336.50625675489</v>
      </c>
    </row>
    <row r="57" spans="5:7" x14ac:dyDescent="0.3">
      <c r="E57">
        <f t="shared" si="2"/>
        <v>1620</v>
      </c>
      <c r="F57">
        <f t="shared" si="0"/>
        <v>1330.655932661826</v>
      </c>
      <c r="G57" t="str">
        <f t="shared" si="1"/>
        <v>SPLINE 1620,1330.65593266183</v>
      </c>
    </row>
    <row r="58" spans="5:7" x14ac:dyDescent="0.3">
      <c r="E58">
        <f t="shared" si="2"/>
        <v>1650</v>
      </c>
      <c r="F58">
        <f t="shared" si="0"/>
        <v>1324.7240241650918</v>
      </c>
      <c r="G58" t="str">
        <f t="shared" si="1"/>
        <v>SPLINE 1650,1324.72402416509</v>
      </c>
    </row>
    <row r="59" spans="5:7" x14ac:dyDescent="0.3">
      <c r="E59">
        <f t="shared" si="2"/>
        <v>1680</v>
      </c>
      <c r="F59">
        <f t="shared" si="0"/>
        <v>1318.7119948743448</v>
      </c>
      <c r="G59" t="str">
        <f t="shared" si="1"/>
        <v>SPLINE 1680,1318.71199487434</v>
      </c>
    </row>
    <row r="60" spans="5:7" x14ac:dyDescent="0.3">
      <c r="E60">
        <f t="shared" si="2"/>
        <v>1710</v>
      </c>
      <c r="F60">
        <f t="shared" si="0"/>
        <v>1312.6213281678527</v>
      </c>
      <c r="G60" t="str">
        <f t="shared" si="1"/>
        <v>SPLINE 1710,1312.62132816785</v>
      </c>
    </row>
    <row r="61" spans="5:7" x14ac:dyDescent="0.3">
      <c r="E61">
        <f t="shared" si="2"/>
        <v>1740</v>
      </c>
      <c r="F61">
        <f t="shared" si="0"/>
        <v>1306.4535268264883</v>
      </c>
      <c r="G61" t="str">
        <f t="shared" si="1"/>
        <v>SPLINE 1740,1306.45352682649</v>
      </c>
    </row>
    <row r="62" spans="5:7" x14ac:dyDescent="0.3">
      <c r="E62">
        <f t="shared" si="2"/>
        <v>1770</v>
      </c>
      <c r="F62">
        <f t="shared" si="0"/>
        <v>1300.210112662942</v>
      </c>
      <c r="G62" t="str">
        <f t="shared" si="1"/>
        <v>SPLINE 1770,1300.21011266294</v>
      </c>
    </row>
    <row r="63" spans="5:7" x14ac:dyDescent="0.3">
      <c r="E63">
        <f t="shared" si="2"/>
        <v>1800</v>
      </c>
      <c r="F63">
        <f t="shared" si="0"/>
        <v>1293.8926261462366</v>
      </c>
      <c r="G63" t="str">
        <f t="shared" si="1"/>
        <v>SPLINE 1800,1293.89262614624</v>
      </c>
    </row>
    <row r="64" spans="5:7" x14ac:dyDescent="0.3">
      <c r="E64">
        <f t="shared" si="2"/>
        <v>1830</v>
      </c>
      <c r="F64">
        <f t="shared" si="0"/>
        <v>1287.5026260216393</v>
      </c>
      <c r="G64" t="str">
        <f t="shared" si="1"/>
        <v>SPLINE 1830,1287.50262602164</v>
      </c>
    </row>
    <row r="65" spans="5:7" x14ac:dyDescent="0.3">
      <c r="E65">
        <f t="shared" si="2"/>
        <v>1860</v>
      </c>
      <c r="F65">
        <f t="shared" si="0"/>
        <v>1281.0416889260653</v>
      </c>
      <c r="G65" t="str">
        <f t="shared" si="1"/>
        <v>SPLINE 1860,1281.04168892607</v>
      </c>
    </row>
    <row r="66" spans="5:7" x14ac:dyDescent="0.3">
      <c r="E66">
        <f t="shared" si="2"/>
        <v>1890</v>
      </c>
      <c r="F66">
        <f t="shared" si="0"/>
        <v>1274.5114089990659</v>
      </c>
      <c r="G66" t="str">
        <f t="shared" si="1"/>
        <v>SPLINE 1890,1274.51140899907</v>
      </c>
    </row>
    <row r="67" spans="5:7" x14ac:dyDescent="0.3">
      <c r="E67">
        <f t="shared" si="2"/>
        <v>1920</v>
      </c>
      <c r="F67">
        <f t="shared" si="0"/>
        <v>1267.9133974894985</v>
      </c>
      <c r="G67" t="str">
        <f t="shared" si="1"/>
        <v>SPLINE 1920,1267.9133974895</v>
      </c>
    </row>
    <row r="68" spans="5:7" x14ac:dyDescent="0.3">
      <c r="E68">
        <f t="shared" si="2"/>
        <v>1950</v>
      </c>
      <c r="F68">
        <f t="shared" ref="F68:F132" si="3">1/4*(($B$3+$C$3)+($B$3-$C$3)*COS(PI()*$E68/$D$3))</f>
        <v>1261.2492823579744</v>
      </c>
      <c r="G68" t="str">
        <f t="shared" ref="G68:G132" si="4">CONCATENATE("SPLINE ",$E68,",",$F68)</f>
        <v>SPLINE 1950,1261.24928235797</v>
      </c>
    </row>
    <row r="69" spans="5:7" x14ac:dyDescent="0.3">
      <c r="E69">
        <f t="shared" ref="E69:E132" si="5">E68+($D$3/200)</f>
        <v>1980</v>
      </c>
      <c r="F69">
        <f t="shared" si="3"/>
        <v>1254.5207078751855</v>
      </c>
      <c r="G69" t="str">
        <f t="shared" si="4"/>
        <v>SPLINE 1980,1254.52070787519</v>
      </c>
    </row>
    <row r="70" spans="5:7" x14ac:dyDescent="0.3">
      <c r="E70">
        <f t="shared" si="5"/>
        <v>2010</v>
      </c>
      <c r="F70">
        <f t="shared" si="3"/>
        <v>1247.7293342162038</v>
      </c>
      <c r="G70" t="str">
        <f t="shared" si="4"/>
        <v>SPLINE 2010,1247.7293342162</v>
      </c>
    </row>
    <row r="71" spans="5:7" x14ac:dyDescent="0.3">
      <c r="E71">
        <f t="shared" si="5"/>
        <v>2040</v>
      </c>
      <c r="F71">
        <f t="shared" si="3"/>
        <v>1240.8768370508576</v>
      </c>
      <c r="G71" t="str">
        <f t="shared" si="4"/>
        <v>SPLINE 2040,1240.87683705086</v>
      </c>
    </row>
    <row r="72" spans="5:7" x14ac:dyDescent="0.3">
      <c r="E72">
        <f t="shared" si="5"/>
        <v>2070</v>
      </c>
      <c r="F72">
        <f t="shared" si="3"/>
        <v>1233.9649071302867</v>
      </c>
      <c r="G72" t="str">
        <f t="shared" si="4"/>
        <v>SPLINE 2070,1233.96490713029</v>
      </c>
    </row>
    <row r="73" spans="5:7" x14ac:dyDescent="0.3">
      <c r="E73">
        <f t="shared" si="5"/>
        <v>2100</v>
      </c>
      <c r="F73">
        <f t="shared" si="3"/>
        <v>1226.9952498697735</v>
      </c>
      <c r="G73" t="str">
        <f t="shared" si="4"/>
        <v>SPLINE 2100,1226.99524986977</v>
      </c>
    </row>
    <row r="74" spans="5:7" x14ac:dyDescent="0.3">
      <c r="E74">
        <f t="shared" si="5"/>
        <v>2130</v>
      </c>
      <c r="F74">
        <f t="shared" si="3"/>
        <v>1219.9695849279576</v>
      </c>
      <c r="G74" t="str">
        <f t="shared" si="4"/>
        <v>SPLINE 2130,1219.96958492796</v>
      </c>
    </row>
    <row r="75" spans="5:7" x14ac:dyDescent="0.3">
      <c r="E75">
        <f t="shared" si="5"/>
        <v>2160</v>
      </c>
      <c r="F75">
        <f t="shared" si="3"/>
        <v>1212.8896457825363</v>
      </c>
      <c r="G75" t="str">
        <f t="shared" si="4"/>
        <v>SPLINE 2160,1212.88964578254</v>
      </c>
    </row>
    <row r="76" spans="5:7" x14ac:dyDescent="0.3">
      <c r="E76">
        <f t="shared" si="5"/>
        <v>2190</v>
      </c>
      <c r="F76">
        <f t="shared" si="3"/>
        <v>1205.7571793025545</v>
      </c>
      <c r="G76" t="str">
        <f t="shared" si="4"/>
        <v>SPLINE 2190,1205.75717930255</v>
      </c>
    </row>
    <row r="77" spans="5:7" x14ac:dyDescent="0.3">
      <c r="E77">
        <f t="shared" si="5"/>
        <v>2220</v>
      </c>
      <c r="F77">
        <f t="shared" si="3"/>
        <v>1198.5739453173903</v>
      </c>
      <c r="G77" t="str">
        <f t="shared" si="4"/>
        <v>SPLINE 2220,1198.57394531739</v>
      </c>
    </row>
    <row r="78" spans="5:7" x14ac:dyDescent="0.3">
      <c r="E78">
        <f t="shared" si="5"/>
        <v>2250</v>
      </c>
      <c r="F78">
        <f t="shared" si="3"/>
        <v>1191.341716182545</v>
      </c>
      <c r="G78" t="str">
        <f t="shared" si="4"/>
        <v>SPLINE 2250,1191.34171618255</v>
      </c>
    </row>
    <row r="79" spans="5:7" x14ac:dyDescent="0.3">
      <c r="E79">
        <f t="shared" si="5"/>
        <v>2280</v>
      </c>
      <c r="F79">
        <f t="shared" si="3"/>
        <v>1184.0622763423389</v>
      </c>
      <c r="G79" t="str">
        <f t="shared" si="4"/>
        <v>SPLINE 2280,1184.06227634234</v>
      </c>
    </row>
    <row r="80" spans="5:7" x14ac:dyDescent="0.3">
      <c r="E80">
        <f t="shared" si="5"/>
        <v>2310</v>
      </c>
      <c r="F80">
        <f t="shared" si="3"/>
        <v>1176.7374218896286</v>
      </c>
      <c r="G80" t="str">
        <f t="shared" si="4"/>
        <v>SPLINE 2310,1176.73742188963</v>
      </c>
    </row>
    <row r="81" spans="5:7" x14ac:dyDescent="0.3">
      <c r="E81">
        <f t="shared" si="5"/>
        <v>2340</v>
      </c>
      <c r="F81">
        <f t="shared" si="3"/>
        <v>1169.3689601226458</v>
      </c>
      <c r="G81" t="str">
        <f t="shared" si="4"/>
        <v>SPLINE 2340,1169.36896012265</v>
      </c>
    </row>
    <row r="82" spans="5:7" x14ac:dyDescent="0.3">
      <c r="E82">
        <f t="shared" si="5"/>
        <v>2370</v>
      </c>
      <c r="F82">
        <f t="shared" si="3"/>
        <v>1161.9587090990747</v>
      </c>
      <c r="G82" t="str">
        <f t="shared" si="4"/>
        <v>SPLINE 2370,1161.95870909907</v>
      </c>
    </row>
    <row r="83" spans="5:7" x14ac:dyDescent="0.3">
      <c r="E83">
        <f t="shared" si="5"/>
        <v>2400</v>
      </c>
      <c r="F83">
        <f t="shared" si="3"/>
        <v>1154.5084971874737</v>
      </c>
      <c r="G83" t="str">
        <f t="shared" si="4"/>
        <v>SPLINE 2400,1154.50849718747</v>
      </c>
    </row>
    <row r="84" spans="5:7" x14ac:dyDescent="0.3">
      <c r="E84">
        <f t="shared" si="5"/>
        <v>2430</v>
      </c>
      <c r="F84">
        <f t="shared" si="3"/>
        <v>1147.020162616152</v>
      </c>
      <c r="G84" t="str">
        <f t="shared" si="4"/>
        <v>SPLINE 2430,1147.02016261615</v>
      </c>
    </row>
    <row r="85" spans="5:7" x14ac:dyDescent="0.3">
      <c r="E85">
        <f t="shared" si="5"/>
        <v>2460</v>
      </c>
      <c r="F85">
        <f t="shared" si="3"/>
        <v>1139.4955530196146</v>
      </c>
      <c r="G85" t="str">
        <f t="shared" si="4"/>
        <v>SPLINE 2460,1139.49555301961</v>
      </c>
    </row>
    <row r="86" spans="5:7" x14ac:dyDescent="0.3">
      <c r="E86">
        <f t="shared" si="5"/>
        <v>2490</v>
      </c>
      <c r="F86">
        <f t="shared" si="3"/>
        <v>1131.9365249826865</v>
      </c>
      <c r="G86" t="str">
        <f t="shared" si="4"/>
        <v>SPLINE 2490,1131.93652498269</v>
      </c>
    </row>
    <row r="87" spans="5:7" x14ac:dyDescent="0.3">
      <c r="E87">
        <f t="shared" si="5"/>
        <v>2520</v>
      </c>
      <c r="F87">
        <f t="shared" si="3"/>
        <v>1124.3449435824273</v>
      </c>
      <c r="G87" t="str">
        <f t="shared" si="4"/>
        <v>SPLINE 2520,1124.34494358243</v>
      </c>
    </row>
    <row r="88" spans="5:7" x14ac:dyDescent="0.3">
      <c r="E88">
        <f t="shared" si="5"/>
        <v>2550</v>
      </c>
      <c r="F88">
        <f t="shared" si="3"/>
        <v>1116.7226819279526</v>
      </c>
      <c r="G88" t="str">
        <f t="shared" si="4"/>
        <v>SPLINE 2550,1116.72268192795</v>
      </c>
    </row>
    <row r="89" spans="5:7" x14ac:dyDescent="0.3">
      <c r="E89">
        <f t="shared" si="5"/>
        <v>2580</v>
      </c>
      <c r="F89">
        <f t="shared" si="3"/>
        <v>1109.0716206982713</v>
      </c>
      <c r="G89" t="str">
        <f t="shared" si="4"/>
        <v>SPLINE 2580,1109.07162069827</v>
      </c>
    </row>
    <row r="90" spans="5:7" x14ac:dyDescent="0.3">
      <c r="E90">
        <f t="shared" si="5"/>
        <v>2610</v>
      </c>
      <c r="F90">
        <f t="shared" si="3"/>
        <v>1101.3936476782562</v>
      </c>
      <c r="G90" t="str">
        <f t="shared" si="4"/>
        <v>SPLINE 2610,1101.39364767826</v>
      </c>
    </row>
    <row r="91" spans="5:7" x14ac:dyDescent="0.3">
      <c r="E91">
        <f t="shared" si="5"/>
        <v>2640</v>
      </c>
      <c r="F91">
        <f t="shared" si="3"/>
        <v>1093.6906572928624</v>
      </c>
      <c r="G91" t="str">
        <f t="shared" si="4"/>
        <v>SPLINE 2640,1093.69065729286</v>
      </c>
    </row>
    <row r="92" spans="5:7" x14ac:dyDescent="0.3">
      <c r="E92">
        <f t="shared" si="5"/>
        <v>2670</v>
      </c>
      <c r="F92">
        <f t="shared" si="3"/>
        <v>1085.9645501397047</v>
      </c>
      <c r="G92" t="str">
        <f t="shared" si="4"/>
        <v>SPLINE 2670,1085.9645501397</v>
      </c>
    </row>
    <row r="93" spans="5:7" x14ac:dyDescent="0.3">
      <c r="E93">
        <f t="shared" si="5"/>
        <v>2700</v>
      </c>
      <c r="F93">
        <f t="shared" si="3"/>
        <v>1078.2172325201154</v>
      </c>
      <c r="G93" t="str">
        <f t="shared" si="4"/>
        <v>SPLINE 2700,1078.21723252012</v>
      </c>
    </row>
    <row r="94" spans="5:7" x14ac:dyDescent="0.3">
      <c r="E94">
        <f t="shared" si="5"/>
        <v>2730</v>
      </c>
      <c r="F94">
        <f t="shared" si="3"/>
        <v>1070.4506159687915</v>
      </c>
      <c r="G94" t="str">
        <f t="shared" si="4"/>
        <v>SPLINE 2730,1070.45061596879</v>
      </c>
    </row>
    <row r="95" spans="5:7" x14ac:dyDescent="0.3">
      <c r="E95">
        <f t="shared" si="5"/>
        <v>2760</v>
      </c>
      <c r="F95">
        <f t="shared" si="3"/>
        <v>1062.6666167821522</v>
      </c>
      <c r="G95" t="str">
        <f t="shared" si="4"/>
        <v>SPLINE 2760,1062.66661678215</v>
      </c>
    </row>
    <row r="96" spans="5:7" x14ac:dyDescent="0.3">
      <c r="E96">
        <f t="shared" si="5"/>
        <v>2790</v>
      </c>
      <c r="F96">
        <f t="shared" si="3"/>
        <v>1054.8671555455228</v>
      </c>
      <c r="G96" t="str">
        <f t="shared" si="4"/>
        <v>SPLINE 2790,1054.86715554552</v>
      </c>
    </row>
    <row r="97" spans="5:7" x14ac:dyDescent="0.3">
      <c r="E97">
        <f t="shared" si="5"/>
        <v>2820</v>
      </c>
      <c r="F97">
        <f t="shared" si="3"/>
        <v>1047.0541566592572</v>
      </c>
      <c r="G97" t="str">
        <f t="shared" si="4"/>
        <v>SPLINE 2820,1047.05415665926</v>
      </c>
    </row>
    <row r="98" spans="5:7" x14ac:dyDescent="0.3">
      <c r="E98">
        <f t="shared" si="5"/>
        <v>2850</v>
      </c>
      <c r="F98">
        <f t="shared" si="3"/>
        <v>1039.2295478639226</v>
      </c>
      <c r="G98" t="str">
        <f t="shared" si="4"/>
        <v>SPLINE 2850,1039.22954786392</v>
      </c>
    </row>
    <row r="99" spans="5:7" x14ac:dyDescent="0.3">
      <c r="E99">
        <f t="shared" si="5"/>
        <v>2880</v>
      </c>
      <c r="F99">
        <f t="shared" si="3"/>
        <v>1031.3952597646567</v>
      </c>
      <c r="G99" t="str">
        <f t="shared" si="4"/>
        <v>SPLINE 2880,1031.39525976466</v>
      </c>
    </row>
    <row r="100" spans="5:7" x14ac:dyDescent="0.3">
      <c r="E100">
        <f t="shared" si="5"/>
        <v>2910</v>
      </c>
      <c r="F100">
        <f t="shared" si="3"/>
        <v>1023.5532253548215</v>
      </c>
      <c r="G100" t="str">
        <f t="shared" si="4"/>
        <v>SPLINE 2910,1023.55322535482</v>
      </c>
    </row>
    <row r="101" spans="5:7" x14ac:dyDescent="0.3">
      <c r="E101">
        <f t="shared" si="5"/>
        <v>2940</v>
      </c>
      <c r="F101">
        <f t="shared" si="3"/>
        <v>1015.7053795390642</v>
      </c>
      <c r="G101" t="str">
        <f t="shared" si="4"/>
        <v>SPLINE 2940,1015.70537953906</v>
      </c>
    </row>
    <row r="102" spans="5:7" x14ac:dyDescent="0.3">
      <c r="E102">
        <f t="shared" si="5"/>
        <v>2970</v>
      </c>
      <c r="F102">
        <f t="shared" si="3"/>
        <v>1007.8536586559103</v>
      </c>
      <c r="G102" t="str">
        <f t="shared" si="4"/>
        <v>SPLINE 2970,1007.85365865591</v>
      </c>
    </row>
    <row r="103" spans="5:7" x14ac:dyDescent="0.3">
      <c r="E103">
        <f t="shared" si="5"/>
        <v>3000</v>
      </c>
      <c r="F103">
        <f t="shared" si="3"/>
        <v>1000</v>
      </c>
      <c r="G103" t="str">
        <f t="shared" si="4"/>
        <v>SPLINE 3000,1000</v>
      </c>
    </row>
    <row r="104" spans="5:7" s="8" customFormat="1" x14ac:dyDescent="0.3">
      <c r="E104" s="8">
        <f t="shared" si="5"/>
        <v>3030</v>
      </c>
      <c r="F104" s="8">
        <f t="shared" si="3"/>
        <v>992.14634134408959</v>
      </c>
      <c r="G104" s="8" t="str">
        <f t="shared" si="4"/>
        <v>SPLINE 3030,992.14634134409</v>
      </c>
    </row>
    <row r="105" spans="5:7" x14ac:dyDescent="0.3">
      <c r="E105">
        <f t="shared" si="5"/>
        <v>3060</v>
      </c>
      <c r="F105">
        <f t="shared" si="3"/>
        <v>984.2946204609359</v>
      </c>
      <c r="G105" t="str">
        <f t="shared" si="4"/>
        <v>SPLINE 3060,984.294620460936</v>
      </c>
    </row>
    <row r="106" spans="5:7" x14ac:dyDescent="0.3">
      <c r="E106">
        <f t="shared" si="5"/>
        <v>3090</v>
      </c>
      <c r="F106">
        <f t="shared" si="3"/>
        <v>976.44677464517861</v>
      </c>
      <c r="G106" t="str">
        <f t="shared" si="4"/>
        <v>SPLINE 3090,976.446774645179</v>
      </c>
    </row>
    <row r="107" spans="5:7" x14ac:dyDescent="0.3">
      <c r="E107">
        <f t="shared" si="5"/>
        <v>3120</v>
      </c>
      <c r="F107">
        <f t="shared" si="3"/>
        <v>968.60474023534346</v>
      </c>
      <c r="G107" t="str">
        <f t="shared" si="4"/>
        <v>SPLINE 3120,968.604740235343</v>
      </c>
    </row>
    <row r="108" spans="5:7" x14ac:dyDescent="0.3">
      <c r="E108">
        <f t="shared" si="5"/>
        <v>3150</v>
      </c>
      <c r="F108">
        <f t="shared" si="3"/>
        <v>960.77045213607755</v>
      </c>
      <c r="G108" t="str">
        <f t="shared" si="4"/>
        <v>SPLINE 3150,960.770452136078</v>
      </c>
    </row>
    <row r="109" spans="5:7" x14ac:dyDescent="0.3">
      <c r="E109">
        <f t="shared" si="5"/>
        <v>3180</v>
      </c>
      <c r="F109">
        <f t="shared" si="3"/>
        <v>952.94584334074295</v>
      </c>
      <c r="G109" t="str">
        <f t="shared" si="4"/>
        <v>SPLINE 3180,952.945843340743</v>
      </c>
    </row>
    <row r="110" spans="5:7" x14ac:dyDescent="0.3">
      <c r="E110">
        <f t="shared" si="5"/>
        <v>3210</v>
      </c>
      <c r="F110">
        <f t="shared" si="3"/>
        <v>945.13284445447744</v>
      </c>
      <c r="G110" t="str">
        <f t="shared" si="4"/>
        <v>SPLINE 3210,945.132844454477</v>
      </c>
    </row>
    <row r="111" spans="5:7" x14ac:dyDescent="0.3">
      <c r="E111">
        <f t="shared" si="5"/>
        <v>3240</v>
      </c>
      <c r="F111">
        <f t="shared" si="3"/>
        <v>937.33338321784788</v>
      </c>
      <c r="G111" t="str">
        <f t="shared" si="4"/>
        <v>SPLINE 3240,937.333383217848</v>
      </c>
    </row>
    <row r="112" spans="5:7" x14ac:dyDescent="0.3">
      <c r="E112">
        <f t="shared" si="5"/>
        <v>3270</v>
      </c>
      <c r="F112">
        <f t="shared" si="3"/>
        <v>929.54938403120866</v>
      </c>
      <c r="G112" t="str">
        <f t="shared" si="4"/>
        <v>SPLINE 3270,929.549384031209</v>
      </c>
    </row>
    <row r="113" spans="5:7" x14ac:dyDescent="0.3">
      <c r="E113">
        <f t="shared" si="5"/>
        <v>3300</v>
      </c>
      <c r="F113">
        <f t="shared" si="3"/>
        <v>921.78276747988446</v>
      </c>
      <c r="G113" t="str">
        <f t="shared" si="4"/>
        <v>SPLINE 3300,921.782767479884</v>
      </c>
    </row>
    <row r="114" spans="5:7" x14ac:dyDescent="0.3">
      <c r="E114">
        <f t="shared" si="5"/>
        <v>3330</v>
      </c>
      <c r="F114">
        <f t="shared" si="3"/>
        <v>914.03544986029533</v>
      </c>
      <c r="G114" t="str">
        <f t="shared" si="4"/>
        <v>SPLINE 3330,914.035449860295</v>
      </c>
    </row>
    <row r="115" spans="5:7" x14ac:dyDescent="0.3">
      <c r="E115">
        <f t="shared" si="5"/>
        <v>3360</v>
      </c>
      <c r="F115">
        <f t="shared" si="3"/>
        <v>906.30934270713772</v>
      </c>
      <c r="G115" t="str">
        <f t="shared" si="4"/>
        <v>SPLINE 3360,906.309342707138</v>
      </c>
    </row>
    <row r="116" spans="5:7" x14ac:dyDescent="0.3">
      <c r="E116">
        <f t="shared" si="5"/>
        <v>3390</v>
      </c>
      <c r="F116">
        <f t="shared" si="3"/>
        <v>898.60635232174377</v>
      </c>
      <c r="G116" t="str">
        <f t="shared" si="4"/>
        <v>SPLINE 3390,898.606352321744</v>
      </c>
    </row>
    <row r="117" spans="5:7" x14ac:dyDescent="0.3">
      <c r="E117">
        <f t="shared" si="5"/>
        <v>3420</v>
      </c>
      <c r="F117">
        <f t="shared" si="3"/>
        <v>890.92837930172868</v>
      </c>
      <c r="G117" t="str">
        <f t="shared" si="4"/>
        <v>SPLINE 3420,890.928379301729</v>
      </c>
    </row>
    <row r="118" spans="5:7" x14ac:dyDescent="0.3">
      <c r="E118">
        <f t="shared" si="5"/>
        <v>3450</v>
      </c>
      <c r="F118">
        <f t="shared" si="3"/>
        <v>883.27731807204736</v>
      </c>
      <c r="G118" t="str">
        <f t="shared" si="4"/>
        <v>SPLINE 3450,883.277318072047</v>
      </c>
    </row>
    <row r="119" spans="5:7" x14ac:dyDescent="0.3">
      <c r="E119">
        <f t="shared" si="5"/>
        <v>3480</v>
      </c>
      <c r="F119">
        <f t="shared" si="3"/>
        <v>875.65505641757261</v>
      </c>
      <c r="G119" t="str">
        <f t="shared" si="4"/>
        <v>SPLINE 3480,875.655056417573</v>
      </c>
    </row>
    <row r="120" spans="5:7" x14ac:dyDescent="0.3">
      <c r="E120">
        <f t="shared" si="5"/>
        <v>3510</v>
      </c>
      <c r="F120">
        <f t="shared" si="3"/>
        <v>868.06347501731375</v>
      </c>
      <c r="G120" t="str">
        <f t="shared" si="4"/>
        <v>SPLINE 3510,868.063475017314</v>
      </c>
    </row>
    <row r="121" spans="5:7" x14ac:dyDescent="0.3">
      <c r="E121">
        <f t="shared" si="5"/>
        <v>3540</v>
      </c>
      <c r="F121">
        <f t="shared" si="3"/>
        <v>860.50444698038541</v>
      </c>
      <c r="G121" t="str">
        <f t="shared" si="4"/>
        <v>SPLINE 3540,860.504446980385</v>
      </c>
    </row>
    <row r="122" spans="5:7" x14ac:dyDescent="0.3">
      <c r="E122">
        <f t="shared" si="5"/>
        <v>3570</v>
      </c>
      <c r="F122">
        <f t="shared" si="3"/>
        <v>852.97983738384801</v>
      </c>
      <c r="G122" t="str">
        <f t="shared" si="4"/>
        <v>SPLINE 3570,852.979837383848</v>
      </c>
    </row>
    <row r="123" spans="5:7" x14ac:dyDescent="0.3">
      <c r="E123">
        <f t="shared" si="5"/>
        <v>3600</v>
      </c>
      <c r="F123">
        <f t="shared" si="3"/>
        <v>845.49150281252628</v>
      </c>
      <c r="G123" t="str">
        <f t="shared" si="4"/>
        <v>SPLINE 3600,845.491502812526</v>
      </c>
    </row>
    <row r="124" spans="5:7" x14ac:dyDescent="0.3">
      <c r="E124">
        <f t="shared" si="5"/>
        <v>3630</v>
      </c>
      <c r="F124">
        <f t="shared" si="3"/>
        <v>838.04129090092533</v>
      </c>
      <c r="G124" t="str">
        <f t="shared" si="4"/>
        <v>SPLINE 3630,838.041290900925</v>
      </c>
    </row>
    <row r="125" spans="5:7" x14ac:dyDescent="0.3">
      <c r="E125">
        <f t="shared" si="5"/>
        <v>3660</v>
      </c>
      <c r="F125">
        <f t="shared" si="3"/>
        <v>830.63103987735428</v>
      </c>
      <c r="G125" t="str">
        <f t="shared" si="4"/>
        <v>SPLINE 3660,830.631039877354</v>
      </c>
    </row>
    <row r="126" spans="5:7" x14ac:dyDescent="0.3">
      <c r="E126">
        <f t="shared" si="5"/>
        <v>3690</v>
      </c>
      <c r="F126">
        <f t="shared" si="3"/>
        <v>823.26257811037135</v>
      </c>
      <c r="G126" t="str">
        <f t="shared" si="4"/>
        <v>SPLINE 3690,823.262578110371</v>
      </c>
    </row>
    <row r="127" spans="5:7" x14ac:dyDescent="0.3">
      <c r="E127">
        <f t="shared" si="5"/>
        <v>3720</v>
      </c>
      <c r="F127">
        <f t="shared" si="3"/>
        <v>815.93772365766108</v>
      </c>
      <c r="G127" t="str">
        <f t="shared" si="4"/>
        <v>SPLINE 3720,815.937723657661</v>
      </c>
    </row>
    <row r="128" spans="5:7" x14ac:dyDescent="0.3">
      <c r="E128">
        <f t="shared" si="5"/>
        <v>3750</v>
      </c>
      <c r="F128">
        <f t="shared" si="3"/>
        <v>808.65828381745519</v>
      </c>
      <c r="G128" t="str">
        <f t="shared" si="4"/>
        <v>SPLINE 3750,808.658283817455</v>
      </c>
    </row>
    <row r="129" spans="5:7" x14ac:dyDescent="0.3">
      <c r="E129">
        <f t="shared" si="5"/>
        <v>3780</v>
      </c>
      <c r="F129">
        <f t="shared" si="3"/>
        <v>801.42605468260979</v>
      </c>
      <c r="G129" t="str">
        <f t="shared" si="4"/>
        <v>SPLINE 3780,801.42605468261</v>
      </c>
    </row>
    <row r="130" spans="5:7" x14ac:dyDescent="0.3">
      <c r="E130">
        <f t="shared" si="5"/>
        <v>3810</v>
      </c>
      <c r="F130">
        <f t="shared" si="3"/>
        <v>794.24282069744561</v>
      </c>
      <c r="G130" t="str">
        <f t="shared" si="4"/>
        <v>SPLINE 3810,794.242820697446</v>
      </c>
    </row>
    <row r="131" spans="5:7" x14ac:dyDescent="0.3">
      <c r="E131">
        <f t="shared" si="5"/>
        <v>3840</v>
      </c>
      <c r="F131">
        <f t="shared" si="3"/>
        <v>787.11035421746385</v>
      </c>
      <c r="G131" t="str">
        <f t="shared" si="4"/>
        <v>SPLINE 3840,787.110354217464</v>
      </c>
    </row>
    <row r="132" spans="5:7" x14ac:dyDescent="0.3">
      <c r="E132">
        <f t="shared" si="5"/>
        <v>3870</v>
      </c>
      <c r="F132">
        <f t="shared" si="3"/>
        <v>780.03041507204239</v>
      </c>
      <c r="G132" t="str">
        <f t="shared" si="4"/>
        <v>SPLINE 3870,780.030415072042</v>
      </c>
    </row>
    <row r="133" spans="5:7" x14ac:dyDescent="0.3">
      <c r="E133">
        <f t="shared" ref="E133:E196" si="6">E132+($D$3/200)</f>
        <v>3900</v>
      </c>
      <c r="F133">
        <f t="shared" ref="F133:F196" si="7">1/4*(($B$3+$C$3)+($B$3-$C$3)*COS(PI()*$E133/$D$3))</f>
        <v>773.00475013022663</v>
      </c>
      <c r="G133" t="str">
        <f t="shared" ref="G133:G196" si="8">CONCATENATE("SPLINE ",$E133,",",$F133)</f>
        <v>SPLINE 3900,773.004750130227</v>
      </c>
    </row>
    <row r="134" spans="5:7" x14ac:dyDescent="0.3">
      <c r="E134">
        <f t="shared" si="6"/>
        <v>3930</v>
      </c>
      <c r="F134">
        <f t="shared" si="7"/>
        <v>766.03509286971337</v>
      </c>
      <c r="G134" t="str">
        <f t="shared" si="8"/>
        <v>SPLINE 3930,766.035092869713</v>
      </c>
    </row>
    <row r="135" spans="5:7" x14ac:dyDescent="0.3">
      <c r="E135">
        <f t="shared" si="6"/>
        <v>3960</v>
      </c>
      <c r="F135">
        <f t="shared" si="7"/>
        <v>759.12316294914228</v>
      </c>
      <c r="G135" t="str">
        <f t="shared" si="8"/>
        <v>SPLINE 3960,759.123162949142</v>
      </c>
    </row>
    <row r="136" spans="5:7" x14ac:dyDescent="0.3">
      <c r="E136">
        <f t="shared" si="6"/>
        <v>3990</v>
      </c>
      <c r="F136">
        <f t="shared" si="7"/>
        <v>752.2706657837964</v>
      </c>
      <c r="G136" t="str">
        <f t="shared" si="8"/>
        <v>SPLINE 3990,752.270665783796</v>
      </c>
    </row>
    <row r="137" spans="5:7" x14ac:dyDescent="0.3">
      <c r="E137">
        <f t="shared" si="6"/>
        <v>4020</v>
      </c>
      <c r="F137">
        <f t="shared" si="7"/>
        <v>745.47929212481438</v>
      </c>
      <c r="G137" t="str">
        <f t="shared" si="8"/>
        <v>SPLINE 4020,745.479292124814</v>
      </c>
    </row>
    <row r="138" spans="5:7" x14ac:dyDescent="0.3">
      <c r="E138">
        <f t="shared" si="6"/>
        <v>4050</v>
      </c>
      <c r="F138">
        <f t="shared" si="7"/>
        <v>738.75071764202562</v>
      </c>
      <c r="G138" t="str">
        <f t="shared" si="8"/>
        <v>SPLINE 4050,738.750717642026</v>
      </c>
    </row>
    <row r="139" spans="5:7" x14ac:dyDescent="0.3">
      <c r="E139">
        <f t="shared" si="6"/>
        <v>4080</v>
      </c>
      <c r="F139">
        <f t="shared" si="7"/>
        <v>732.08660251050173</v>
      </c>
      <c r="G139" t="str">
        <f t="shared" si="8"/>
        <v>SPLINE 4080,732.086602510502</v>
      </c>
    </row>
    <row r="140" spans="5:7" x14ac:dyDescent="0.3">
      <c r="E140">
        <f t="shared" si="6"/>
        <v>4110</v>
      </c>
      <c r="F140">
        <f t="shared" si="7"/>
        <v>725.48859100093421</v>
      </c>
      <c r="G140" t="str">
        <f t="shared" si="8"/>
        <v>SPLINE 4110,725.488591000934</v>
      </c>
    </row>
    <row r="141" spans="5:7" x14ac:dyDescent="0.3">
      <c r="E141">
        <f t="shared" si="6"/>
        <v>4140</v>
      </c>
      <c r="F141">
        <f t="shared" si="7"/>
        <v>718.95831107393474</v>
      </c>
      <c r="G141" t="str">
        <f t="shared" si="8"/>
        <v>SPLINE 4140,718.958311073935</v>
      </c>
    </row>
    <row r="142" spans="5:7" x14ac:dyDescent="0.3">
      <c r="E142">
        <f t="shared" si="6"/>
        <v>4170</v>
      </c>
      <c r="F142">
        <f t="shared" si="7"/>
        <v>712.49737397836066</v>
      </c>
      <c r="G142" t="str">
        <f t="shared" si="8"/>
        <v>SPLINE 4170,712.497373978361</v>
      </c>
    </row>
    <row r="143" spans="5:7" x14ac:dyDescent="0.3">
      <c r="E143">
        <f t="shared" si="6"/>
        <v>4200</v>
      </c>
      <c r="F143">
        <f t="shared" si="7"/>
        <v>706.10737385376342</v>
      </c>
      <c r="G143" t="str">
        <f t="shared" si="8"/>
        <v>SPLINE 4200,706.107373853763</v>
      </c>
    </row>
    <row r="144" spans="5:7" x14ac:dyDescent="0.3">
      <c r="E144">
        <f t="shared" si="6"/>
        <v>4230</v>
      </c>
      <c r="F144">
        <f t="shared" si="7"/>
        <v>699.78988733705808</v>
      </c>
      <c r="G144" t="str">
        <f t="shared" si="8"/>
        <v>SPLINE 4230,699.789887337058</v>
      </c>
    </row>
    <row r="145" spans="5:7" x14ac:dyDescent="0.3">
      <c r="E145">
        <f t="shared" si="6"/>
        <v>4260</v>
      </c>
      <c r="F145">
        <f t="shared" si="7"/>
        <v>693.54647317351191</v>
      </c>
      <c r="G145" t="str">
        <f t="shared" si="8"/>
        <v>SPLINE 4260,693.546473173512</v>
      </c>
    </row>
    <row r="146" spans="5:7" x14ac:dyDescent="0.3">
      <c r="E146">
        <f t="shared" si="6"/>
        <v>4290</v>
      </c>
      <c r="F146">
        <f t="shared" si="7"/>
        <v>687.37867183214735</v>
      </c>
      <c r="G146" t="str">
        <f t="shared" si="8"/>
        <v>SPLINE 4290,687.378671832147</v>
      </c>
    </row>
    <row r="147" spans="5:7" x14ac:dyDescent="0.3">
      <c r="E147">
        <f t="shared" si="6"/>
        <v>4320</v>
      </c>
      <c r="F147">
        <f t="shared" si="7"/>
        <v>681.2880051256551</v>
      </c>
      <c r="G147" t="str">
        <f t="shared" si="8"/>
        <v>SPLINE 4320,681.288005125655</v>
      </c>
    </row>
    <row r="148" spans="5:7" x14ac:dyDescent="0.3">
      <c r="E148">
        <f t="shared" si="6"/>
        <v>4350</v>
      </c>
      <c r="F148">
        <f t="shared" si="7"/>
        <v>675.27597583490819</v>
      </c>
      <c r="G148" t="str">
        <f t="shared" si="8"/>
        <v>SPLINE 4350,675.275975834908</v>
      </c>
    </row>
    <row r="149" spans="5:7" x14ac:dyDescent="0.3">
      <c r="E149">
        <f t="shared" si="6"/>
        <v>4380</v>
      </c>
      <c r="F149">
        <f t="shared" si="7"/>
        <v>669.34406733817423</v>
      </c>
      <c r="G149" t="str">
        <f t="shared" si="8"/>
        <v>SPLINE 4380,669.344067338174</v>
      </c>
    </row>
    <row r="150" spans="5:7" x14ac:dyDescent="0.3">
      <c r="E150">
        <f t="shared" si="6"/>
        <v>4410</v>
      </c>
      <c r="F150">
        <f t="shared" si="7"/>
        <v>663.49374324511348</v>
      </c>
      <c r="G150" t="str">
        <f t="shared" si="8"/>
        <v>SPLINE 4410,663.493743245113</v>
      </c>
    </row>
    <row r="151" spans="5:7" x14ac:dyDescent="0.3">
      <c r="E151">
        <f t="shared" si="6"/>
        <v>4440</v>
      </c>
      <c r="F151">
        <f t="shared" si="7"/>
        <v>657.72644703565561</v>
      </c>
      <c r="G151" t="str">
        <f t="shared" si="8"/>
        <v>SPLINE 4440,657.726447035656</v>
      </c>
    </row>
    <row r="152" spans="5:7" x14ac:dyDescent="0.3">
      <c r="E152">
        <f t="shared" si="6"/>
        <v>4470</v>
      </c>
      <c r="F152">
        <f t="shared" si="7"/>
        <v>652.0436017038428</v>
      </c>
      <c r="G152" t="str">
        <f t="shared" si="8"/>
        <v>SPLINE 4470,652.043601703843</v>
      </c>
    </row>
    <row r="153" spans="5:7" x14ac:dyDescent="0.3">
      <c r="E153">
        <f t="shared" si="6"/>
        <v>4500</v>
      </c>
      <c r="F153">
        <f t="shared" si="7"/>
        <v>646.44660940672634</v>
      </c>
      <c r="G153" t="str">
        <f t="shared" si="8"/>
        <v>SPLINE 4500,646.446609406726</v>
      </c>
    </row>
    <row r="154" spans="5:7" x14ac:dyDescent="0.3">
      <c r="E154">
        <f t="shared" si="6"/>
        <v>4530</v>
      </c>
      <c r="F154">
        <f t="shared" si="7"/>
        <v>640.93685111840568</v>
      </c>
      <c r="G154" t="str">
        <f t="shared" si="8"/>
        <v>SPLINE 4530,640.936851118406</v>
      </c>
    </row>
    <row r="155" spans="5:7" x14ac:dyDescent="0.3">
      <c r="E155">
        <f t="shared" si="6"/>
        <v>4560</v>
      </c>
      <c r="F155">
        <f t="shared" si="7"/>
        <v>635.51568628929419</v>
      </c>
      <c r="G155" t="str">
        <f t="shared" si="8"/>
        <v>SPLINE 4560,635.515686289294</v>
      </c>
    </row>
    <row r="156" spans="5:7" x14ac:dyDescent="0.3">
      <c r="E156">
        <f t="shared" si="6"/>
        <v>4590</v>
      </c>
      <c r="F156">
        <f t="shared" si="7"/>
        <v>630.18445251069534</v>
      </c>
      <c r="G156" t="str">
        <f t="shared" si="8"/>
        <v>SPLINE 4590,630.184452510695</v>
      </c>
    </row>
    <row r="157" spans="5:7" x14ac:dyDescent="0.3">
      <c r="E157">
        <f t="shared" si="6"/>
        <v>4620</v>
      </c>
      <c r="F157">
        <f t="shared" si="7"/>
        <v>624.94446518477025</v>
      </c>
      <c r="G157" t="str">
        <f t="shared" si="8"/>
        <v>SPLINE 4620,624.94446518477</v>
      </c>
    </row>
    <row r="158" spans="5:7" x14ac:dyDescent="0.3">
      <c r="E158">
        <f t="shared" si="6"/>
        <v>4650</v>
      </c>
      <c r="F158">
        <f t="shared" si="7"/>
        <v>619.79701719998457</v>
      </c>
      <c r="G158" t="str">
        <f t="shared" si="8"/>
        <v>SPLINE 4650,619.797017199985</v>
      </c>
    </row>
    <row r="159" spans="5:7" x14ac:dyDescent="0.3">
      <c r="E159">
        <f t="shared" si="6"/>
        <v>4680</v>
      </c>
      <c r="F159">
        <f t="shared" si="7"/>
        <v>614.7433786121054</v>
      </c>
      <c r="G159" t="str">
        <f t="shared" si="8"/>
        <v>SPLINE 4680,614.743378612105</v>
      </c>
    </row>
    <row r="160" spans="5:7" x14ac:dyDescent="0.3">
      <c r="E160">
        <f t="shared" si="6"/>
        <v>4710</v>
      </c>
      <c r="F160">
        <f t="shared" si="7"/>
        <v>609.78479633083521</v>
      </c>
      <c r="G160" t="str">
        <f t="shared" si="8"/>
        <v>SPLINE 4710,609.784796330835</v>
      </c>
    </row>
    <row r="161" spans="5:7" x14ac:dyDescent="0.3">
      <c r="E161">
        <f t="shared" si="6"/>
        <v>4740</v>
      </c>
      <c r="F161">
        <f t="shared" si="7"/>
        <v>604.92249381215481</v>
      </c>
      <c r="G161" t="str">
        <f t="shared" si="8"/>
        <v>SPLINE 4740,604.922493812155</v>
      </c>
    </row>
    <row r="162" spans="5:7" x14ac:dyDescent="0.3">
      <c r="E162">
        <f t="shared" si="6"/>
        <v>4770</v>
      </c>
      <c r="F162">
        <f t="shared" si="7"/>
        <v>600.15767075645476</v>
      </c>
      <c r="G162" t="str">
        <f t="shared" si="8"/>
        <v>SPLINE 4770,600.157670756455</v>
      </c>
    </row>
    <row r="163" spans="5:7" x14ac:dyDescent="0.3">
      <c r="E163">
        <f t="shared" si="6"/>
        <v>4800</v>
      </c>
      <c r="F163">
        <f t="shared" si="7"/>
        <v>595.49150281252628</v>
      </c>
      <c r="G163" t="str">
        <f t="shared" si="8"/>
        <v>SPLINE 4800,595.491502812526</v>
      </c>
    </row>
    <row r="164" spans="5:7" x14ac:dyDescent="0.3">
      <c r="E164">
        <f t="shared" si="6"/>
        <v>4830</v>
      </c>
      <c r="F164">
        <f t="shared" si="7"/>
        <v>590.92514128748837</v>
      </c>
      <c r="G164" t="str">
        <f t="shared" si="8"/>
        <v>SPLINE 4830,590.925141287488</v>
      </c>
    </row>
    <row r="165" spans="5:7" x14ac:dyDescent="0.3">
      <c r="E165">
        <f t="shared" si="6"/>
        <v>4860</v>
      </c>
      <c r="F165">
        <f t="shared" si="7"/>
        <v>586.45971286271913</v>
      </c>
      <c r="G165" t="str">
        <f t="shared" si="8"/>
        <v>SPLINE 4860,586.459712862719</v>
      </c>
    </row>
    <row r="166" spans="5:7" x14ac:dyDescent="0.3">
      <c r="E166">
        <f t="shared" si="6"/>
        <v>4890</v>
      </c>
      <c r="F166">
        <f t="shared" si="7"/>
        <v>582.09631931586489</v>
      </c>
      <c r="G166" t="str">
        <f t="shared" si="8"/>
        <v>SPLINE 4890,582.096319315865</v>
      </c>
    </row>
    <row r="167" spans="5:7" x14ac:dyDescent="0.3">
      <c r="E167">
        <f t="shared" si="6"/>
        <v>4920</v>
      </c>
      <c r="F167">
        <f t="shared" si="7"/>
        <v>577.8360372489924</v>
      </c>
      <c r="G167" t="str">
        <f t="shared" si="8"/>
        <v>SPLINE 4920,577.836037248992</v>
      </c>
    </row>
    <row r="168" spans="5:7" x14ac:dyDescent="0.3">
      <c r="E168">
        <f t="shared" si="6"/>
        <v>4950</v>
      </c>
      <c r="F168">
        <f t="shared" si="7"/>
        <v>573.67991782295394</v>
      </c>
      <c r="G168" t="str">
        <f t="shared" si="8"/>
        <v>SPLINE 4950,573.679917822954</v>
      </c>
    </row>
    <row r="169" spans="5:7" x14ac:dyDescent="0.3">
      <c r="E169">
        <f t="shared" si="6"/>
        <v>4980</v>
      </c>
      <c r="F169">
        <f t="shared" si="7"/>
        <v>569.62898649802821</v>
      </c>
      <c r="G169" t="str">
        <f t="shared" si="8"/>
        <v>SPLINE 4980,569.628986498028</v>
      </c>
    </row>
    <row r="170" spans="5:7" x14ac:dyDescent="0.3">
      <c r="E170">
        <f t="shared" si="6"/>
        <v>5010</v>
      </c>
      <c r="F170">
        <f t="shared" si="7"/>
        <v>565.68424278090447</v>
      </c>
      <c r="G170" t="str">
        <f t="shared" si="8"/>
        <v>SPLINE 5010,565.684242780904</v>
      </c>
    </row>
    <row r="171" spans="5:7" x14ac:dyDescent="0.3">
      <c r="E171">
        <f t="shared" si="6"/>
        <v>5040</v>
      </c>
      <c r="F171">
        <f t="shared" si="7"/>
        <v>561.84665997806815</v>
      </c>
      <c r="G171" t="str">
        <f t="shared" si="8"/>
        <v>SPLINE 5040,561.846659978068</v>
      </c>
    </row>
    <row r="172" spans="5:7" x14ac:dyDescent="0.3">
      <c r="E172">
        <f t="shared" si="6"/>
        <v>5070</v>
      </c>
      <c r="F172">
        <f t="shared" si="7"/>
        <v>558.11718495565333</v>
      </c>
      <c r="G172" t="str">
        <f t="shared" si="8"/>
        <v>SPLINE 5070,558.117184955653</v>
      </c>
    </row>
    <row r="173" spans="5:7" x14ac:dyDescent="0.3">
      <c r="E173">
        <f t="shared" si="6"/>
        <v>5100</v>
      </c>
      <c r="F173">
        <f t="shared" si="7"/>
        <v>554.49673790581619</v>
      </c>
      <c r="G173" t="str">
        <f t="shared" si="8"/>
        <v>SPLINE 5100,554.496737905816</v>
      </c>
    </row>
    <row r="174" spans="5:7" x14ac:dyDescent="0.3">
      <c r="E174">
        <f t="shared" si="6"/>
        <v>5130</v>
      </c>
      <c r="F174">
        <f t="shared" si="7"/>
        <v>550.98621211969225</v>
      </c>
      <c r="G174" t="str">
        <f t="shared" si="8"/>
        <v>SPLINE 5130,550.986212119692</v>
      </c>
    </row>
    <row r="175" spans="5:7" x14ac:dyDescent="0.3">
      <c r="E175">
        <f t="shared" si="6"/>
        <v>5160</v>
      </c>
      <c r="F175">
        <f t="shared" si="7"/>
        <v>547.58647376699014</v>
      </c>
      <c r="G175" t="str">
        <f t="shared" si="8"/>
        <v>SPLINE 5160,547.58647376699</v>
      </c>
    </row>
    <row r="176" spans="5:7" x14ac:dyDescent="0.3">
      <c r="E176">
        <f t="shared" si="6"/>
        <v>5190</v>
      </c>
      <c r="F176">
        <f t="shared" si="7"/>
        <v>544.29836168227746</v>
      </c>
      <c r="G176" t="str">
        <f t="shared" si="8"/>
        <v>SPLINE 5190,544.298361682277</v>
      </c>
    </row>
    <row r="177" spans="5:7" x14ac:dyDescent="0.3">
      <c r="E177">
        <f t="shared" si="6"/>
        <v>5220</v>
      </c>
      <c r="F177">
        <f t="shared" si="7"/>
        <v>541.12268715800951</v>
      </c>
      <c r="G177" t="str">
        <f t="shared" si="8"/>
        <v>SPLINE 5220,541.12268715801</v>
      </c>
    </row>
    <row r="178" spans="5:7" x14ac:dyDescent="0.3">
      <c r="E178">
        <f t="shared" si="6"/>
        <v>5250</v>
      </c>
      <c r="F178">
        <f t="shared" si="7"/>
        <v>538.06023374435665</v>
      </c>
      <c r="G178" t="str">
        <f t="shared" si="8"/>
        <v>SPLINE 5250,538.060233744357</v>
      </c>
    </row>
    <row r="179" spans="5:7" x14ac:dyDescent="0.3">
      <c r="E179">
        <f t="shared" si="6"/>
        <v>5280</v>
      </c>
      <c r="F179">
        <f t="shared" si="7"/>
        <v>535.11175705587425</v>
      </c>
      <c r="G179" t="str">
        <f t="shared" si="8"/>
        <v>SPLINE 5280,535.111757055874</v>
      </c>
    </row>
    <row r="180" spans="5:7" x14ac:dyDescent="0.3">
      <c r="E180">
        <f t="shared" si="6"/>
        <v>5310</v>
      </c>
      <c r="F180">
        <f t="shared" si="7"/>
        <v>532.27798458506629</v>
      </c>
      <c r="G180" t="str">
        <f t="shared" si="8"/>
        <v>SPLINE 5310,532.277984585066</v>
      </c>
    </row>
    <row r="181" spans="5:7" x14ac:dyDescent="0.3">
      <c r="E181">
        <f t="shared" si="6"/>
        <v>5340</v>
      </c>
      <c r="F181">
        <f t="shared" si="7"/>
        <v>529.55961552288727</v>
      </c>
      <c r="G181" t="str">
        <f t="shared" si="8"/>
        <v>SPLINE 5340,529.559615522887</v>
      </c>
    </row>
    <row r="182" spans="5:7" x14ac:dyDescent="0.3">
      <c r="E182">
        <f t="shared" si="6"/>
        <v>5370</v>
      </c>
      <c r="F182">
        <f t="shared" si="7"/>
        <v>526.95732058622741</v>
      </c>
      <c r="G182" t="str">
        <f t="shared" si="8"/>
        <v>SPLINE 5370,526.957320586227</v>
      </c>
    </row>
    <row r="183" spans="5:7" x14ac:dyDescent="0.3">
      <c r="E183">
        <f t="shared" si="6"/>
        <v>5400</v>
      </c>
      <c r="F183">
        <f t="shared" si="7"/>
        <v>524.47174185242318</v>
      </c>
      <c r="G183" t="str">
        <f t="shared" si="8"/>
        <v>SPLINE 5400,524.471741852423</v>
      </c>
    </row>
    <row r="184" spans="5:7" x14ac:dyDescent="0.3">
      <c r="E184">
        <f t="shared" si="6"/>
        <v>5430</v>
      </c>
      <c r="F184">
        <f t="shared" si="7"/>
        <v>522.1034926008349</v>
      </c>
      <c r="G184" t="str">
        <f t="shared" si="8"/>
        <v>SPLINE 5430,522.103492600835</v>
      </c>
    </row>
    <row r="185" spans="5:7" x14ac:dyDescent="0.3">
      <c r="E185">
        <f t="shared" si="6"/>
        <v>5460</v>
      </c>
      <c r="F185">
        <f t="shared" si="7"/>
        <v>519.85315716152854</v>
      </c>
      <c r="G185" t="str">
        <f t="shared" si="8"/>
        <v>SPLINE 5460,519.853157161529</v>
      </c>
    </row>
    <row r="186" spans="5:7" x14ac:dyDescent="0.3">
      <c r="E186">
        <f t="shared" si="6"/>
        <v>5490</v>
      </c>
      <c r="F186">
        <f t="shared" si="7"/>
        <v>517.72129077110094</v>
      </c>
      <c r="G186" t="str">
        <f t="shared" si="8"/>
        <v>SPLINE 5490,517.721290771101</v>
      </c>
    </row>
    <row r="187" spans="5:7" x14ac:dyDescent="0.3">
      <c r="E187">
        <f t="shared" si="6"/>
        <v>5520</v>
      </c>
      <c r="F187">
        <f t="shared" si="7"/>
        <v>515.70841943568439</v>
      </c>
      <c r="G187" t="str">
        <f t="shared" si="8"/>
        <v>SPLINE 5520,515.708419435684</v>
      </c>
    </row>
    <row r="188" spans="5:7" x14ac:dyDescent="0.3">
      <c r="E188">
        <f t="shared" si="6"/>
        <v>5550</v>
      </c>
      <c r="F188">
        <f t="shared" si="7"/>
        <v>513.81503980116167</v>
      </c>
      <c r="G188" t="str">
        <f t="shared" si="8"/>
        <v>SPLINE 5550,513.815039801162</v>
      </c>
    </row>
    <row r="189" spans="5:7" x14ac:dyDescent="0.3">
      <c r="E189">
        <f t="shared" si="6"/>
        <v>5580</v>
      </c>
      <c r="F189">
        <f t="shared" si="7"/>
        <v>512.04161903062641</v>
      </c>
      <c r="G189" t="str">
        <f t="shared" si="8"/>
        <v>SPLINE 5580,512.041619030626</v>
      </c>
    </row>
    <row r="190" spans="5:7" x14ac:dyDescent="0.3">
      <c r="E190">
        <f t="shared" si="6"/>
        <v>5610</v>
      </c>
      <c r="F190">
        <f t="shared" si="7"/>
        <v>510.3885946891171</v>
      </c>
      <c r="G190" t="str">
        <f t="shared" si="8"/>
        <v>SPLINE 5610,510.388594689117</v>
      </c>
    </row>
    <row r="191" spans="5:7" x14ac:dyDescent="0.3">
      <c r="E191">
        <f t="shared" si="6"/>
        <v>5640</v>
      </c>
      <c r="F191">
        <f t="shared" si="7"/>
        <v>508.85637463565564</v>
      </c>
      <c r="G191" t="str">
        <f t="shared" si="8"/>
        <v>SPLINE 5640,508.856374635656</v>
      </c>
    </row>
    <row r="192" spans="5:7" x14ac:dyDescent="0.3">
      <c r="E192">
        <f t="shared" si="6"/>
        <v>5670</v>
      </c>
      <c r="F192">
        <f t="shared" si="7"/>
        <v>507.44533692261308</v>
      </c>
      <c r="G192" t="str">
        <f t="shared" si="8"/>
        <v>SPLINE 5670,507.445336922613</v>
      </c>
    </row>
    <row r="193" spans="5:7" x14ac:dyDescent="0.3">
      <c r="E193">
        <f t="shared" si="6"/>
        <v>5700</v>
      </c>
      <c r="F193">
        <f t="shared" si="7"/>
        <v>506.15582970243116</v>
      </c>
      <c r="G193" t="str">
        <f t="shared" si="8"/>
        <v>SPLINE 5700,506.155829702431</v>
      </c>
    </row>
    <row r="194" spans="5:7" x14ac:dyDescent="0.3">
      <c r="E194">
        <f t="shared" si="6"/>
        <v>5730</v>
      </c>
      <c r="F194">
        <f t="shared" si="7"/>
        <v>504.98817114172118</v>
      </c>
      <c r="G194" t="str">
        <f t="shared" si="8"/>
        <v>SPLINE 5730,504.988171141721</v>
      </c>
    </row>
    <row r="195" spans="5:7" x14ac:dyDescent="0.3">
      <c r="E195">
        <f t="shared" si="6"/>
        <v>5760</v>
      </c>
      <c r="F195">
        <f t="shared" si="7"/>
        <v>503.94264934276106</v>
      </c>
      <c r="G195" t="str">
        <f t="shared" si="8"/>
        <v>SPLINE 5760,503.942649342761</v>
      </c>
    </row>
    <row r="196" spans="5:7" x14ac:dyDescent="0.3">
      <c r="E196">
        <f t="shared" si="6"/>
        <v>5790</v>
      </c>
      <c r="F196">
        <f t="shared" si="7"/>
        <v>503.0195222724102</v>
      </c>
      <c r="G196" t="str">
        <f t="shared" si="8"/>
        <v>SPLINE 5790,503.01952227241</v>
      </c>
    </row>
    <row r="197" spans="5:7" x14ac:dyDescent="0.3">
      <c r="E197">
        <f t="shared" ref="E197:E203" si="9">E196+($D$3/200)</f>
        <v>5820</v>
      </c>
      <c r="F197">
        <f t="shared" ref="F197:F203" si="10">1/4*(($B$3+$C$3)+($B$3-$C$3)*COS(PI()*$E197/$D$3))</f>
        <v>502.21901769845999</v>
      </c>
      <c r="G197" t="str">
        <f t="shared" ref="G197:G203" si="11">CONCATENATE("SPLINE ",$E197,",",$F197)</f>
        <v>SPLINE 5820,502.21901769846</v>
      </c>
    </row>
    <row r="198" spans="5:7" x14ac:dyDescent="0.3">
      <c r="E198">
        <f t="shared" si="9"/>
        <v>5850</v>
      </c>
      <c r="F198">
        <f t="shared" si="10"/>
        <v>501.54133313343601</v>
      </c>
      <c r="G198" t="str">
        <f t="shared" si="11"/>
        <v>SPLINE 5850,501.541333133436</v>
      </c>
    </row>
    <row r="199" spans="5:7" x14ac:dyDescent="0.3">
      <c r="E199">
        <f t="shared" si="9"/>
        <v>5880</v>
      </c>
      <c r="F199">
        <f t="shared" si="10"/>
        <v>500.98663578586422</v>
      </c>
      <c r="G199" t="str">
        <f t="shared" si="11"/>
        <v>SPLINE 5880,500.986635785864</v>
      </c>
    </row>
    <row r="200" spans="5:7" x14ac:dyDescent="0.3">
      <c r="E200">
        <f t="shared" si="9"/>
        <v>5910</v>
      </c>
      <c r="F200">
        <f t="shared" si="10"/>
        <v>500.55506251901505</v>
      </c>
      <c r="G200" t="str">
        <f t="shared" si="11"/>
        <v>SPLINE 5910,500.555062519015</v>
      </c>
    </row>
    <row r="201" spans="5:7" x14ac:dyDescent="0.3">
      <c r="E201">
        <f t="shared" si="9"/>
        <v>5940</v>
      </c>
      <c r="F201">
        <f t="shared" si="10"/>
        <v>500.24671981713419</v>
      </c>
      <c r="G201" t="str">
        <f t="shared" si="11"/>
        <v>SPLINE 5940,500.246719817134</v>
      </c>
    </row>
    <row r="202" spans="5:7" x14ac:dyDescent="0.3">
      <c r="E202">
        <f t="shared" si="9"/>
        <v>5970</v>
      </c>
      <c r="F202">
        <f t="shared" si="10"/>
        <v>500.06168375916968</v>
      </c>
      <c r="G202" t="str">
        <f t="shared" si="11"/>
        <v>SPLINE 5970,500.06168375917</v>
      </c>
    </row>
    <row r="203" spans="5:7" x14ac:dyDescent="0.3">
      <c r="E203">
        <f t="shared" si="9"/>
        <v>6000</v>
      </c>
      <c r="F203">
        <f t="shared" si="10"/>
        <v>500</v>
      </c>
      <c r="G203" t="str">
        <f t="shared" si="11"/>
        <v>SPLINE 6000,500</v>
      </c>
    </row>
  </sheetData>
  <sheetProtection algorithmName="SHA-512" hashValue="2cZQw0KS0jaDYYHGTKuIXkElVyCjOPO2EY+Zi6fl6BxgStCwgsnOVOanem6vaInX327dL4E0YHY6+ir0Mpm29g==" saltValue="s6VMgXGX2qhvKAcNBGyn9A==" spinCount="100000" sheet="1" objects="1" scenarios="1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316EF-93F2-405E-8B8F-EC86931A2303}">
  <sheetPr codeName="Sheet3"/>
  <dimension ref="A1:J203"/>
  <sheetViews>
    <sheetView zoomScale="115" zoomScaleNormal="115" workbookViewId="0">
      <selection activeCell="F2" sqref="A2:F2"/>
    </sheetView>
  </sheetViews>
  <sheetFormatPr defaultColWidth="0" defaultRowHeight="16.5" zeroHeight="1" x14ac:dyDescent="0.3"/>
  <cols>
    <col min="1" max="1" width="9" customWidth="1"/>
    <col min="2" max="2" width="14" bestFit="1" customWidth="1"/>
    <col min="3" max="6" width="9" customWidth="1"/>
    <col min="7" max="7" width="29.625" bestFit="1" customWidth="1"/>
    <col min="8" max="9" width="9" hidden="1" customWidth="1"/>
    <col min="10" max="10" width="29.625" hidden="1" customWidth="1"/>
    <col min="11" max="16384" width="9" hidden="1"/>
  </cols>
  <sheetData>
    <row r="1" spans="1:7" x14ac:dyDescent="0.3">
      <c r="A1" s="2" t="s">
        <v>6</v>
      </c>
    </row>
    <row r="2" spans="1:7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</row>
    <row r="3" spans="1:7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 t="e">
        <f>($C$3/2)+(($B$3-$C$3)/2)*(1-(($D$3/$A$3)^2)*(($E3/$D$3)^3))</f>
        <v>#DIV/0!</v>
      </c>
      <c r="G3" t="e">
        <f>CONCATENATE("SPLINE ",$E3,",",$F3)</f>
        <v>#DIV/0!</v>
      </c>
    </row>
    <row r="4" spans="1:7" x14ac:dyDescent="0.3">
      <c r="E4">
        <f>E3+($D$3/200)</f>
        <v>30</v>
      </c>
      <c r="F4" t="e">
        <f t="shared" ref="F4:F67" si="0">($C$3/2)+(($B$3-$C$3)/2)*(1-(($D$3/$A$3)^2)*(($E4/$D$3)^3))</f>
        <v>#DIV/0!</v>
      </c>
      <c r="G4" t="e">
        <f t="shared" ref="G4:G66" si="1">CONCATENATE("SPLINE ",$E4,",",$F4)</f>
        <v>#DIV/0!</v>
      </c>
    </row>
    <row r="5" spans="1:7" x14ac:dyDescent="0.3">
      <c r="E5">
        <f t="shared" ref="E5:E68" si="2">E4+($D$3/200)</f>
        <v>60</v>
      </c>
      <c r="F5" t="e">
        <f t="shared" si="0"/>
        <v>#DIV/0!</v>
      </c>
      <c r="G5" t="e">
        <f t="shared" si="1"/>
        <v>#DIV/0!</v>
      </c>
    </row>
    <row r="6" spans="1:7" x14ac:dyDescent="0.3">
      <c r="E6">
        <f t="shared" si="2"/>
        <v>90</v>
      </c>
      <c r="F6" t="e">
        <f t="shared" si="0"/>
        <v>#DIV/0!</v>
      </c>
      <c r="G6" t="e">
        <f t="shared" si="1"/>
        <v>#DIV/0!</v>
      </c>
    </row>
    <row r="7" spans="1:7" x14ac:dyDescent="0.3">
      <c r="E7">
        <f t="shared" si="2"/>
        <v>120</v>
      </c>
      <c r="F7" t="e">
        <f t="shared" si="0"/>
        <v>#DIV/0!</v>
      </c>
      <c r="G7" t="e">
        <f t="shared" si="1"/>
        <v>#DIV/0!</v>
      </c>
    </row>
    <row r="8" spans="1:7" x14ac:dyDescent="0.3">
      <c r="E8">
        <f t="shared" si="2"/>
        <v>150</v>
      </c>
      <c r="F8" t="e">
        <f t="shared" si="0"/>
        <v>#DIV/0!</v>
      </c>
      <c r="G8" t="e">
        <f t="shared" si="1"/>
        <v>#DIV/0!</v>
      </c>
    </row>
    <row r="9" spans="1:7" x14ac:dyDescent="0.3">
      <c r="E9">
        <f t="shared" si="2"/>
        <v>180</v>
      </c>
      <c r="F9" t="e">
        <f t="shared" si="0"/>
        <v>#DIV/0!</v>
      </c>
      <c r="G9" t="e">
        <f t="shared" si="1"/>
        <v>#DIV/0!</v>
      </c>
    </row>
    <row r="10" spans="1:7" x14ac:dyDescent="0.3">
      <c r="E10">
        <f t="shared" si="2"/>
        <v>210</v>
      </c>
      <c r="F10" t="e">
        <f t="shared" si="0"/>
        <v>#DIV/0!</v>
      </c>
      <c r="G10" t="e">
        <f t="shared" si="1"/>
        <v>#DIV/0!</v>
      </c>
    </row>
    <row r="11" spans="1:7" x14ac:dyDescent="0.3">
      <c r="E11">
        <f t="shared" si="2"/>
        <v>240</v>
      </c>
      <c r="F11" t="e">
        <f t="shared" si="0"/>
        <v>#DIV/0!</v>
      </c>
      <c r="G11" t="e">
        <f t="shared" si="1"/>
        <v>#DIV/0!</v>
      </c>
    </row>
    <row r="12" spans="1:7" x14ac:dyDescent="0.3">
      <c r="E12">
        <f t="shared" si="2"/>
        <v>270</v>
      </c>
      <c r="F12" t="e">
        <f t="shared" si="0"/>
        <v>#DIV/0!</v>
      </c>
      <c r="G12" t="e">
        <f t="shared" si="1"/>
        <v>#DIV/0!</v>
      </c>
    </row>
    <row r="13" spans="1:7" x14ac:dyDescent="0.3">
      <c r="E13">
        <f t="shared" si="2"/>
        <v>300</v>
      </c>
      <c r="F13" t="e">
        <f t="shared" si="0"/>
        <v>#DIV/0!</v>
      </c>
      <c r="G13" t="e">
        <f t="shared" si="1"/>
        <v>#DIV/0!</v>
      </c>
    </row>
    <row r="14" spans="1:7" x14ac:dyDescent="0.3">
      <c r="E14">
        <f t="shared" si="2"/>
        <v>330</v>
      </c>
      <c r="F14" t="e">
        <f t="shared" si="0"/>
        <v>#DIV/0!</v>
      </c>
      <c r="G14" t="e">
        <f t="shared" si="1"/>
        <v>#DIV/0!</v>
      </c>
    </row>
    <row r="15" spans="1:7" x14ac:dyDescent="0.3">
      <c r="E15">
        <f t="shared" si="2"/>
        <v>360</v>
      </c>
      <c r="F15" t="e">
        <f t="shared" si="0"/>
        <v>#DIV/0!</v>
      </c>
      <c r="G15" t="e">
        <f t="shared" si="1"/>
        <v>#DIV/0!</v>
      </c>
    </row>
    <row r="16" spans="1:7" x14ac:dyDescent="0.3">
      <c r="E16">
        <f t="shared" si="2"/>
        <v>390</v>
      </c>
      <c r="F16" t="e">
        <f t="shared" si="0"/>
        <v>#DIV/0!</v>
      </c>
      <c r="G16" t="e">
        <f t="shared" si="1"/>
        <v>#DIV/0!</v>
      </c>
    </row>
    <row r="17" spans="5:7" x14ac:dyDescent="0.3">
      <c r="E17">
        <f t="shared" si="2"/>
        <v>420</v>
      </c>
      <c r="F17" t="e">
        <f t="shared" si="0"/>
        <v>#DIV/0!</v>
      </c>
      <c r="G17" t="e">
        <f t="shared" si="1"/>
        <v>#DIV/0!</v>
      </c>
    </row>
    <row r="18" spans="5:7" x14ac:dyDescent="0.3">
      <c r="E18">
        <f t="shared" si="2"/>
        <v>450</v>
      </c>
      <c r="F18" t="e">
        <f t="shared" si="0"/>
        <v>#DIV/0!</v>
      </c>
      <c r="G18" t="e">
        <f t="shared" si="1"/>
        <v>#DIV/0!</v>
      </c>
    </row>
    <row r="19" spans="5:7" x14ac:dyDescent="0.3">
      <c r="E19">
        <f t="shared" si="2"/>
        <v>480</v>
      </c>
      <c r="F19" t="e">
        <f t="shared" si="0"/>
        <v>#DIV/0!</v>
      </c>
      <c r="G19" t="e">
        <f t="shared" si="1"/>
        <v>#DIV/0!</v>
      </c>
    </row>
    <row r="20" spans="5:7" x14ac:dyDescent="0.3">
      <c r="E20">
        <f t="shared" si="2"/>
        <v>510</v>
      </c>
      <c r="F20" t="e">
        <f t="shared" si="0"/>
        <v>#DIV/0!</v>
      </c>
      <c r="G20" t="e">
        <f t="shared" si="1"/>
        <v>#DIV/0!</v>
      </c>
    </row>
    <row r="21" spans="5:7" x14ac:dyDescent="0.3">
      <c r="E21">
        <f t="shared" si="2"/>
        <v>540</v>
      </c>
      <c r="F21" t="e">
        <f t="shared" si="0"/>
        <v>#DIV/0!</v>
      </c>
      <c r="G21" t="e">
        <f t="shared" si="1"/>
        <v>#DIV/0!</v>
      </c>
    </row>
    <row r="22" spans="5:7" x14ac:dyDescent="0.3">
      <c r="E22">
        <f t="shared" si="2"/>
        <v>570</v>
      </c>
      <c r="F22" t="e">
        <f t="shared" si="0"/>
        <v>#DIV/0!</v>
      </c>
      <c r="G22" t="e">
        <f t="shared" si="1"/>
        <v>#DIV/0!</v>
      </c>
    </row>
    <row r="23" spans="5:7" x14ac:dyDescent="0.3">
      <c r="E23">
        <f t="shared" si="2"/>
        <v>600</v>
      </c>
      <c r="F23" t="e">
        <f t="shared" si="0"/>
        <v>#DIV/0!</v>
      </c>
      <c r="G23" t="e">
        <f t="shared" si="1"/>
        <v>#DIV/0!</v>
      </c>
    </row>
    <row r="24" spans="5:7" x14ac:dyDescent="0.3">
      <c r="E24">
        <f t="shared" si="2"/>
        <v>630</v>
      </c>
      <c r="F24" t="e">
        <f t="shared" si="0"/>
        <v>#DIV/0!</v>
      </c>
      <c r="G24" t="e">
        <f t="shared" si="1"/>
        <v>#DIV/0!</v>
      </c>
    </row>
    <row r="25" spans="5:7" x14ac:dyDescent="0.3">
      <c r="E25">
        <f t="shared" si="2"/>
        <v>660</v>
      </c>
      <c r="F25" t="e">
        <f t="shared" si="0"/>
        <v>#DIV/0!</v>
      </c>
      <c r="G25" t="e">
        <f t="shared" si="1"/>
        <v>#DIV/0!</v>
      </c>
    </row>
    <row r="26" spans="5:7" x14ac:dyDescent="0.3">
      <c r="E26">
        <f t="shared" si="2"/>
        <v>690</v>
      </c>
      <c r="F26" t="e">
        <f t="shared" si="0"/>
        <v>#DIV/0!</v>
      </c>
      <c r="G26" t="e">
        <f t="shared" si="1"/>
        <v>#DIV/0!</v>
      </c>
    </row>
    <row r="27" spans="5:7" x14ac:dyDescent="0.3">
      <c r="E27">
        <f t="shared" si="2"/>
        <v>720</v>
      </c>
      <c r="F27" t="e">
        <f t="shared" si="0"/>
        <v>#DIV/0!</v>
      </c>
      <c r="G27" t="e">
        <f t="shared" si="1"/>
        <v>#DIV/0!</v>
      </c>
    </row>
    <row r="28" spans="5:7" x14ac:dyDescent="0.3">
      <c r="E28">
        <f t="shared" si="2"/>
        <v>750</v>
      </c>
      <c r="F28" t="e">
        <f t="shared" si="0"/>
        <v>#DIV/0!</v>
      </c>
      <c r="G28" t="e">
        <f t="shared" si="1"/>
        <v>#DIV/0!</v>
      </c>
    </row>
    <row r="29" spans="5:7" x14ac:dyDescent="0.3">
      <c r="E29">
        <f t="shared" si="2"/>
        <v>780</v>
      </c>
      <c r="F29" t="e">
        <f t="shared" si="0"/>
        <v>#DIV/0!</v>
      </c>
      <c r="G29" t="e">
        <f t="shared" si="1"/>
        <v>#DIV/0!</v>
      </c>
    </row>
    <row r="30" spans="5:7" x14ac:dyDescent="0.3">
      <c r="E30">
        <f t="shared" si="2"/>
        <v>810</v>
      </c>
      <c r="F30" t="e">
        <f t="shared" si="0"/>
        <v>#DIV/0!</v>
      </c>
      <c r="G30" t="e">
        <f t="shared" si="1"/>
        <v>#DIV/0!</v>
      </c>
    </row>
    <row r="31" spans="5:7" x14ac:dyDescent="0.3">
      <c r="E31">
        <f t="shared" si="2"/>
        <v>840</v>
      </c>
      <c r="F31" t="e">
        <f t="shared" si="0"/>
        <v>#DIV/0!</v>
      </c>
      <c r="G31" t="e">
        <f t="shared" si="1"/>
        <v>#DIV/0!</v>
      </c>
    </row>
    <row r="32" spans="5:7" x14ac:dyDescent="0.3">
      <c r="E32">
        <f t="shared" si="2"/>
        <v>870</v>
      </c>
      <c r="F32" t="e">
        <f t="shared" si="0"/>
        <v>#DIV/0!</v>
      </c>
      <c r="G32" t="e">
        <f t="shared" si="1"/>
        <v>#DIV/0!</v>
      </c>
    </row>
    <row r="33" spans="5:7" x14ac:dyDescent="0.3">
      <c r="E33">
        <f t="shared" si="2"/>
        <v>900</v>
      </c>
      <c r="F33" t="e">
        <f t="shared" si="0"/>
        <v>#DIV/0!</v>
      </c>
      <c r="G33" t="e">
        <f t="shared" si="1"/>
        <v>#DIV/0!</v>
      </c>
    </row>
    <row r="34" spans="5:7" x14ac:dyDescent="0.3">
      <c r="E34">
        <f t="shared" si="2"/>
        <v>930</v>
      </c>
      <c r="F34" t="e">
        <f t="shared" si="0"/>
        <v>#DIV/0!</v>
      </c>
      <c r="G34" t="e">
        <f t="shared" si="1"/>
        <v>#DIV/0!</v>
      </c>
    </row>
    <row r="35" spans="5:7" x14ac:dyDescent="0.3">
      <c r="E35">
        <f t="shared" si="2"/>
        <v>960</v>
      </c>
      <c r="F35" t="e">
        <f t="shared" si="0"/>
        <v>#DIV/0!</v>
      </c>
      <c r="G35" t="e">
        <f t="shared" si="1"/>
        <v>#DIV/0!</v>
      </c>
    </row>
    <row r="36" spans="5:7" x14ac:dyDescent="0.3">
      <c r="E36">
        <f t="shared" si="2"/>
        <v>990</v>
      </c>
      <c r="F36" t="e">
        <f t="shared" si="0"/>
        <v>#DIV/0!</v>
      </c>
      <c r="G36" t="e">
        <f t="shared" si="1"/>
        <v>#DIV/0!</v>
      </c>
    </row>
    <row r="37" spans="5:7" x14ac:dyDescent="0.3">
      <c r="E37">
        <f t="shared" si="2"/>
        <v>1020</v>
      </c>
      <c r="F37" t="e">
        <f t="shared" si="0"/>
        <v>#DIV/0!</v>
      </c>
      <c r="G37" t="e">
        <f t="shared" si="1"/>
        <v>#DIV/0!</v>
      </c>
    </row>
    <row r="38" spans="5:7" x14ac:dyDescent="0.3">
      <c r="E38">
        <f t="shared" si="2"/>
        <v>1050</v>
      </c>
      <c r="F38" t="e">
        <f t="shared" si="0"/>
        <v>#DIV/0!</v>
      </c>
      <c r="G38" t="e">
        <f t="shared" si="1"/>
        <v>#DIV/0!</v>
      </c>
    </row>
    <row r="39" spans="5:7" x14ac:dyDescent="0.3">
      <c r="E39">
        <f t="shared" si="2"/>
        <v>1080</v>
      </c>
      <c r="F39" t="e">
        <f t="shared" si="0"/>
        <v>#DIV/0!</v>
      </c>
      <c r="G39" t="e">
        <f t="shared" si="1"/>
        <v>#DIV/0!</v>
      </c>
    </row>
    <row r="40" spans="5:7" x14ac:dyDescent="0.3">
      <c r="E40">
        <f t="shared" si="2"/>
        <v>1110</v>
      </c>
      <c r="F40" t="e">
        <f t="shared" si="0"/>
        <v>#DIV/0!</v>
      </c>
      <c r="G40" t="e">
        <f t="shared" si="1"/>
        <v>#DIV/0!</v>
      </c>
    </row>
    <row r="41" spans="5:7" x14ac:dyDescent="0.3">
      <c r="E41">
        <f t="shared" si="2"/>
        <v>1140</v>
      </c>
      <c r="F41" t="e">
        <f t="shared" si="0"/>
        <v>#DIV/0!</v>
      </c>
      <c r="G41" t="e">
        <f t="shared" si="1"/>
        <v>#DIV/0!</v>
      </c>
    </row>
    <row r="42" spans="5:7" x14ac:dyDescent="0.3">
      <c r="E42">
        <f t="shared" si="2"/>
        <v>1170</v>
      </c>
      <c r="F42" t="e">
        <f t="shared" si="0"/>
        <v>#DIV/0!</v>
      </c>
      <c r="G42" t="e">
        <f t="shared" si="1"/>
        <v>#DIV/0!</v>
      </c>
    </row>
    <row r="43" spans="5:7" x14ac:dyDescent="0.3">
      <c r="E43">
        <f t="shared" si="2"/>
        <v>1200</v>
      </c>
      <c r="F43" t="e">
        <f t="shared" si="0"/>
        <v>#DIV/0!</v>
      </c>
      <c r="G43" t="e">
        <f t="shared" si="1"/>
        <v>#DIV/0!</v>
      </c>
    </row>
    <row r="44" spans="5:7" x14ac:dyDescent="0.3">
      <c r="E44">
        <f t="shared" si="2"/>
        <v>1230</v>
      </c>
      <c r="F44" t="e">
        <f t="shared" si="0"/>
        <v>#DIV/0!</v>
      </c>
      <c r="G44" t="e">
        <f t="shared" si="1"/>
        <v>#DIV/0!</v>
      </c>
    </row>
    <row r="45" spans="5:7" x14ac:dyDescent="0.3">
      <c r="E45">
        <f t="shared" si="2"/>
        <v>1260</v>
      </c>
      <c r="F45" t="e">
        <f t="shared" si="0"/>
        <v>#DIV/0!</v>
      </c>
      <c r="G45" t="e">
        <f t="shared" si="1"/>
        <v>#DIV/0!</v>
      </c>
    </row>
    <row r="46" spans="5:7" x14ac:dyDescent="0.3">
      <c r="E46">
        <f t="shared" si="2"/>
        <v>1290</v>
      </c>
      <c r="F46" t="e">
        <f t="shared" si="0"/>
        <v>#DIV/0!</v>
      </c>
      <c r="G46" t="e">
        <f t="shared" si="1"/>
        <v>#DIV/0!</v>
      </c>
    </row>
    <row r="47" spans="5:7" x14ac:dyDescent="0.3">
      <c r="E47">
        <f t="shared" si="2"/>
        <v>1320</v>
      </c>
      <c r="F47" t="e">
        <f t="shared" si="0"/>
        <v>#DIV/0!</v>
      </c>
      <c r="G47" t="e">
        <f t="shared" si="1"/>
        <v>#DIV/0!</v>
      </c>
    </row>
    <row r="48" spans="5:7" x14ac:dyDescent="0.3">
      <c r="E48">
        <f t="shared" si="2"/>
        <v>1350</v>
      </c>
      <c r="F48" t="e">
        <f t="shared" si="0"/>
        <v>#DIV/0!</v>
      </c>
      <c r="G48" t="e">
        <f t="shared" si="1"/>
        <v>#DIV/0!</v>
      </c>
    </row>
    <row r="49" spans="5:7" x14ac:dyDescent="0.3">
      <c r="E49">
        <f t="shared" si="2"/>
        <v>1380</v>
      </c>
      <c r="F49" t="e">
        <f t="shared" si="0"/>
        <v>#DIV/0!</v>
      </c>
      <c r="G49" t="e">
        <f t="shared" si="1"/>
        <v>#DIV/0!</v>
      </c>
    </row>
    <row r="50" spans="5:7" x14ac:dyDescent="0.3">
      <c r="E50">
        <f t="shared" si="2"/>
        <v>1410</v>
      </c>
      <c r="F50" t="e">
        <f t="shared" si="0"/>
        <v>#DIV/0!</v>
      </c>
      <c r="G50" t="e">
        <f t="shared" si="1"/>
        <v>#DIV/0!</v>
      </c>
    </row>
    <row r="51" spans="5:7" x14ac:dyDescent="0.3">
      <c r="E51">
        <f t="shared" si="2"/>
        <v>1440</v>
      </c>
      <c r="F51" t="e">
        <f t="shared" si="0"/>
        <v>#DIV/0!</v>
      </c>
      <c r="G51" t="e">
        <f t="shared" si="1"/>
        <v>#DIV/0!</v>
      </c>
    </row>
    <row r="52" spans="5:7" x14ac:dyDescent="0.3">
      <c r="E52">
        <f t="shared" si="2"/>
        <v>1470</v>
      </c>
      <c r="F52" t="e">
        <f t="shared" si="0"/>
        <v>#DIV/0!</v>
      </c>
      <c r="G52" t="e">
        <f t="shared" si="1"/>
        <v>#DIV/0!</v>
      </c>
    </row>
    <row r="53" spans="5:7" x14ac:dyDescent="0.3">
      <c r="E53">
        <f t="shared" si="2"/>
        <v>1500</v>
      </c>
      <c r="F53" t="e">
        <f t="shared" si="0"/>
        <v>#DIV/0!</v>
      </c>
      <c r="G53" t="e">
        <f t="shared" si="1"/>
        <v>#DIV/0!</v>
      </c>
    </row>
    <row r="54" spans="5:7" x14ac:dyDescent="0.3">
      <c r="E54">
        <f t="shared" si="2"/>
        <v>1530</v>
      </c>
      <c r="F54" t="e">
        <f t="shared" si="0"/>
        <v>#DIV/0!</v>
      </c>
      <c r="G54" t="e">
        <f t="shared" si="1"/>
        <v>#DIV/0!</v>
      </c>
    </row>
    <row r="55" spans="5:7" x14ac:dyDescent="0.3">
      <c r="E55">
        <f t="shared" si="2"/>
        <v>1560</v>
      </c>
      <c r="F55" t="e">
        <f t="shared" si="0"/>
        <v>#DIV/0!</v>
      </c>
      <c r="G55" t="e">
        <f t="shared" si="1"/>
        <v>#DIV/0!</v>
      </c>
    </row>
    <row r="56" spans="5:7" x14ac:dyDescent="0.3">
      <c r="E56">
        <f t="shared" si="2"/>
        <v>1590</v>
      </c>
      <c r="F56" t="e">
        <f t="shared" si="0"/>
        <v>#DIV/0!</v>
      </c>
      <c r="G56" t="e">
        <f t="shared" si="1"/>
        <v>#DIV/0!</v>
      </c>
    </row>
    <row r="57" spans="5:7" x14ac:dyDescent="0.3">
      <c r="E57">
        <f t="shared" si="2"/>
        <v>1620</v>
      </c>
      <c r="F57" t="e">
        <f t="shared" si="0"/>
        <v>#DIV/0!</v>
      </c>
      <c r="G57" t="e">
        <f t="shared" si="1"/>
        <v>#DIV/0!</v>
      </c>
    </row>
    <row r="58" spans="5:7" x14ac:dyDescent="0.3">
      <c r="E58">
        <f t="shared" si="2"/>
        <v>1650</v>
      </c>
      <c r="F58" t="e">
        <f t="shared" si="0"/>
        <v>#DIV/0!</v>
      </c>
      <c r="G58" t="e">
        <f t="shared" si="1"/>
        <v>#DIV/0!</v>
      </c>
    </row>
    <row r="59" spans="5:7" x14ac:dyDescent="0.3">
      <c r="E59">
        <f t="shared" si="2"/>
        <v>1680</v>
      </c>
      <c r="F59" t="e">
        <f t="shared" si="0"/>
        <v>#DIV/0!</v>
      </c>
      <c r="G59" t="e">
        <f t="shared" si="1"/>
        <v>#DIV/0!</v>
      </c>
    </row>
    <row r="60" spans="5:7" x14ac:dyDescent="0.3">
      <c r="E60">
        <f t="shared" si="2"/>
        <v>1710</v>
      </c>
      <c r="F60" t="e">
        <f t="shared" si="0"/>
        <v>#DIV/0!</v>
      </c>
      <c r="G60" t="e">
        <f t="shared" si="1"/>
        <v>#DIV/0!</v>
      </c>
    </row>
    <row r="61" spans="5:7" x14ac:dyDescent="0.3">
      <c r="E61">
        <f t="shared" si="2"/>
        <v>1740</v>
      </c>
      <c r="F61" t="e">
        <f t="shared" si="0"/>
        <v>#DIV/0!</v>
      </c>
      <c r="G61" t="e">
        <f t="shared" si="1"/>
        <v>#DIV/0!</v>
      </c>
    </row>
    <row r="62" spans="5:7" x14ac:dyDescent="0.3">
      <c r="E62">
        <f t="shared" si="2"/>
        <v>1770</v>
      </c>
      <c r="F62" t="e">
        <f t="shared" si="0"/>
        <v>#DIV/0!</v>
      </c>
      <c r="G62" t="e">
        <f t="shared" si="1"/>
        <v>#DIV/0!</v>
      </c>
    </row>
    <row r="63" spans="5:7" x14ac:dyDescent="0.3">
      <c r="E63">
        <f t="shared" si="2"/>
        <v>1800</v>
      </c>
      <c r="F63" t="e">
        <f t="shared" si="0"/>
        <v>#DIV/0!</v>
      </c>
      <c r="G63" t="e">
        <f t="shared" si="1"/>
        <v>#DIV/0!</v>
      </c>
    </row>
    <row r="64" spans="5:7" x14ac:dyDescent="0.3">
      <c r="E64">
        <f t="shared" si="2"/>
        <v>1830</v>
      </c>
      <c r="F64" t="e">
        <f t="shared" si="0"/>
        <v>#DIV/0!</v>
      </c>
      <c r="G64" t="e">
        <f t="shared" si="1"/>
        <v>#DIV/0!</v>
      </c>
    </row>
    <row r="65" spans="5:7" x14ac:dyDescent="0.3">
      <c r="E65">
        <f t="shared" si="2"/>
        <v>1860</v>
      </c>
      <c r="F65" t="e">
        <f t="shared" si="0"/>
        <v>#DIV/0!</v>
      </c>
      <c r="G65" t="e">
        <f t="shared" si="1"/>
        <v>#DIV/0!</v>
      </c>
    </row>
    <row r="66" spans="5:7" x14ac:dyDescent="0.3">
      <c r="E66">
        <f t="shared" si="2"/>
        <v>1890</v>
      </c>
      <c r="F66" t="e">
        <f t="shared" si="0"/>
        <v>#DIV/0!</v>
      </c>
      <c r="G66" t="e">
        <f t="shared" si="1"/>
        <v>#DIV/0!</v>
      </c>
    </row>
    <row r="67" spans="5:7" x14ac:dyDescent="0.3">
      <c r="E67">
        <f t="shared" si="2"/>
        <v>1920</v>
      </c>
      <c r="F67" t="e">
        <f t="shared" si="0"/>
        <v>#DIV/0!</v>
      </c>
      <c r="G67" t="e">
        <f>CONCATENATE("SPLINE ",$E67,",",$F67)</f>
        <v>#DIV/0!</v>
      </c>
    </row>
    <row r="68" spans="5:7" x14ac:dyDescent="0.3">
      <c r="E68">
        <f t="shared" si="2"/>
        <v>1950</v>
      </c>
      <c r="F68" t="e">
        <f t="shared" ref="F68:F103" si="3">($C$3/2)+(($B$3-$C$3)/2)*(1-(($D$3/$A$3)^2)*(($E68/$D$3)^3))</f>
        <v>#DIV/0!</v>
      </c>
      <c r="G68" t="e">
        <f t="shared" ref="G68:G132" si="4">CONCATENATE("SPLINE ",$E68,",",$F68)</f>
        <v>#DIV/0!</v>
      </c>
    </row>
    <row r="69" spans="5:7" x14ac:dyDescent="0.3">
      <c r="E69">
        <f t="shared" ref="E69:E132" si="5">E68+($D$3/200)</f>
        <v>1980</v>
      </c>
      <c r="F69" t="e">
        <f t="shared" si="3"/>
        <v>#DIV/0!</v>
      </c>
      <c r="G69" t="e">
        <f t="shared" si="4"/>
        <v>#DIV/0!</v>
      </c>
    </row>
    <row r="70" spans="5:7" x14ac:dyDescent="0.3">
      <c r="E70">
        <f t="shared" si="5"/>
        <v>2010</v>
      </c>
      <c r="F70" t="e">
        <f t="shared" si="3"/>
        <v>#DIV/0!</v>
      </c>
      <c r="G70" t="e">
        <f t="shared" si="4"/>
        <v>#DIV/0!</v>
      </c>
    </row>
    <row r="71" spans="5:7" x14ac:dyDescent="0.3">
      <c r="E71">
        <f t="shared" si="5"/>
        <v>2040</v>
      </c>
      <c r="F71" t="e">
        <f t="shared" si="3"/>
        <v>#DIV/0!</v>
      </c>
      <c r="G71" t="e">
        <f t="shared" si="4"/>
        <v>#DIV/0!</v>
      </c>
    </row>
    <row r="72" spans="5:7" x14ac:dyDescent="0.3">
      <c r="E72">
        <f t="shared" si="5"/>
        <v>2070</v>
      </c>
      <c r="F72" t="e">
        <f t="shared" si="3"/>
        <v>#DIV/0!</v>
      </c>
      <c r="G72" t="e">
        <f t="shared" si="4"/>
        <v>#DIV/0!</v>
      </c>
    </row>
    <row r="73" spans="5:7" x14ac:dyDescent="0.3">
      <c r="E73">
        <f t="shared" si="5"/>
        <v>2100</v>
      </c>
      <c r="F73" t="e">
        <f t="shared" si="3"/>
        <v>#DIV/0!</v>
      </c>
      <c r="G73" t="e">
        <f t="shared" si="4"/>
        <v>#DIV/0!</v>
      </c>
    </row>
    <row r="74" spans="5:7" x14ac:dyDescent="0.3">
      <c r="E74">
        <f t="shared" si="5"/>
        <v>2130</v>
      </c>
      <c r="F74" t="e">
        <f t="shared" si="3"/>
        <v>#DIV/0!</v>
      </c>
      <c r="G74" t="e">
        <f t="shared" si="4"/>
        <v>#DIV/0!</v>
      </c>
    </row>
    <row r="75" spans="5:7" x14ac:dyDescent="0.3">
      <c r="E75">
        <f t="shared" si="5"/>
        <v>2160</v>
      </c>
      <c r="F75" t="e">
        <f t="shared" si="3"/>
        <v>#DIV/0!</v>
      </c>
      <c r="G75" t="e">
        <f t="shared" si="4"/>
        <v>#DIV/0!</v>
      </c>
    </row>
    <row r="76" spans="5:7" x14ac:dyDescent="0.3">
      <c r="E76">
        <f t="shared" si="5"/>
        <v>2190</v>
      </c>
      <c r="F76" t="e">
        <f t="shared" si="3"/>
        <v>#DIV/0!</v>
      </c>
      <c r="G76" t="e">
        <f t="shared" si="4"/>
        <v>#DIV/0!</v>
      </c>
    </row>
    <row r="77" spans="5:7" x14ac:dyDescent="0.3">
      <c r="E77">
        <f t="shared" si="5"/>
        <v>2220</v>
      </c>
      <c r="F77" t="e">
        <f t="shared" si="3"/>
        <v>#DIV/0!</v>
      </c>
      <c r="G77" t="e">
        <f t="shared" si="4"/>
        <v>#DIV/0!</v>
      </c>
    </row>
    <row r="78" spans="5:7" x14ac:dyDescent="0.3">
      <c r="E78">
        <f t="shared" si="5"/>
        <v>2250</v>
      </c>
      <c r="F78" t="e">
        <f t="shared" si="3"/>
        <v>#DIV/0!</v>
      </c>
      <c r="G78" t="e">
        <f t="shared" si="4"/>
        <v>#DIV/0!</v>
      </c>
    </row>
    <row r="79" spans="5:7" x14ac:dyDescent="0.3">
      <c r="E79">
        <f t="shared" si="5"/>
        <v>2280</v>
      </c>
      <c r="F79" t="e">
        <f t="shared" si="3"/>
        <v>#DIV/0!</v>
      </c>
      <c r="G79" t="e">
        <f t="shared" si="4"/>
        <v>#DIV/0!</v>
      </c>
    </row>
    <row r="80" spans="5:7" x14ac:dyDescent="0.3">
      <c r="E80">
        <f t="shared" si="5"/>
        <v>2310</v>
      </c>
      <c r="F80" t="e">
        <f t="shared" si="3"/>
        <v>#DIV/0!</v>
      </c>
      <c r="G80" t="e">
        <f t="shared" si="4"/>
        <v>#DIV/0!</v>
      </c>
    </row>
    <row r="81" spans="5:7" x14ac:dyDescent="0.3">
      <c r="E81">
        <f t="shared" si="5"/>
        <v>2340</v>
      </c>
      <c r="F81" t="e">
        <f t="shared" si="3"/>
        <v>#DIV/0!</v>
      </c>
      <c r="G81" t="e">
        <f t="shared" si="4"/>
        <v>#DIV/0!</v>
      </c>
    </row>
    <row r="82" spans="5:7" x14ac:dyDescent="0.3">
      <c r="E82">
        <f t="shared" si="5"/>
        <v>2370</v>
      </c>
      <c r="F82" t="e">
        <f t="shared" si="3"/>
        <v>#DIV/0!</v>
      </c>
      <c r="G82" t="e">
        <f t="shared" si="4"/>
        <v>#DIV/0!</v>
      </c>
    </row>
    <row r="83" spans="5:7" x14ac:dyDescent="0.3">
      <c r="E83">
        <f t="shared" si="5"/>
        <v>2400</v>
      </c>
      <c r="F83" t="e">
        <f t="shared" si="3"/>
        <v>#DIV/0!</v>
      </c>
      <c r="G83" t="e">
        <f t="shared" si="4"/>
        <v>#DIV/0!</v>
      </c>
    </row>
    <row r="84" spans="5:7" x14ac:dyDescent="0.3">
      <c r="E84">
        <f t="shared" si="5"/>
        <v>2430</v>
      </c>
      <c r="F84" t="e">
        <f t="shared" si="3"/>
        <v>#DIV/0!</v>
      </c>
      <c r="G84" t="e">
        <f t="shared" si="4"/>
        <v>#DIV/0!</v>
      </c>
    </row>
    <row r="85" spans="5:7" x14ac:dyDescent="0.3">
      <c r="E85">
        <f t="shared" si="5"/>
        <v>2460</v>
      </c>
      <c r="F85" t="e">
        <f t="shared" si="3"/>
        <v>#DIV/0!</v>
      </c>
      <c r="G85" t="e">
        <f t="shared" si="4"/>
        <v>#DIV/0!</v>
      </c>
    </row>
    <row r="86" spans="5:7" x14ac:dyDescent="0.3">
      <c r="E86">
        <f t="shared" si="5"/>
        <v>2490</v>
      </c>
      <c r="F86" t="e">
        <f t="shared" si="3"/>
        <v>#DIV/0!</v>
      </c>
      <c r="G86" t="e">
        <f t="shared" si="4"/>
        <v>#DIV/0!</v>
      </c>
    </row>
    <row r="87" spans="5:7" x14ac:dyDescent="0.3">
      <c r="E87">
        <f t="shared" si="5"/>
        <v>2520</v>
      </c>
      <c r="F87" t="e">
        <f t="shared" si="3"/>
        <v>#DIV/0!</v>
      </c>
      <c r="G87" t="e">
        <f t="shared" si="4"/>
        <v>#DIV/0!</v>
      </c>
    </row>
    <row r="88" spans="5:7" x14ac:dyDescent="0.3">
      <c r="E88">
        <f t="shared" si="5"/>
        <v>2550</v>
      </c>
      <c r="F88" t="e">
        <f t="shared" si="3"/>
        <v>#DIV/0!</v>
      </c>
      <c r="G88" t="e">
        <f t="shared" si="4"/>
        <v>#DIV/0!</v>
      </c>
    </row>
    <row r="89" spans="5:7" x14ac:dyDescent="0.3">
      <c r="E89">
        <f t="shared" si="5"/>
        <v>2580</v>
      </c>
      <c r="F89" t="e">
        <f t="shared" si="3"/>
        <v>#DIV/0!</v>
      </c>
      <c r="G89" t="e">
        <f t="shared" si="4"/>
        <v>#DIV/0!</v>
      </c>
    </row>
    <row r="90" spans="5:7" x14ac:dyDescent="0.3">
      <c r="E90">
        <f t="shared" si="5"/>
        <v>2610</v>
      </c>
      <c r="F90" t="e">
        <f t="shared" si="3"/>
        <v>#DIV/0!</v>
      </c>
      <c r="G90" t="e">
        <f t="shared" si="4"/>
        <v>#DIV/0!</v>
      </c>
    </row>
    <row r="91" spans="5:7" x14ac:dyDescent="0.3">
      <c r="E91">
        <f t="shared" si="5"/>
        <v>2640</v>
      </c>
      <c r="F91" t="e">
        <f t="shared" si="3"/>
        <v>#DIV/0!</v>
      </c>
      <c r="G91" t="e">
        <f t="shared" si="4"/>
        <v>#DIV/0!</v>
      </c>
    </row>
    <row r="92" spans="5:7" x14ac:dyDescent="0.3">
      <c r="E92">
        <f t="shared" si="5"/>
        <v>2670</v>
      </c>
      <c r="F92" t="e">
        <f t="shared" si="3"/>
        <v>#DIV/0!</v>
      </c>
      <c r="G92" t="e">
        <f t="shared" si="4"/>
        <v>#DIV/0!</v>
      </c>
    </row>
    <row r="93" spans="5:7" x14ac:dyDescent="0.3">
      <c r="E93">
        <f t="shared" si="5"/>
        <v>2700</v>
      </c>
      <c r="F93" t="e">
        <f t="shared" si="3"/>
        <v>#DIV/0!</v>
      </c>
      <c r="G93" t="e">
        <f t="shared" si="4"/>
        <v>#DIV/0!</v>
      </c>
    </row>
    <row r="94" spans="5:7" x14ac:dyDescent="0.3">
      <c r="E94">
        <f t="shared" si="5"/>
        <v>2730</v>
      </c>
      <c r="F94" t="e">
        <f t="shared" si="3"/>
        <v>#DIV/0!</v>
      </c>
      <c r="G94" t="e">
        <f t="shared" si="4"/>
        <v>#DIV/0!</v>
      </c>
    </row>
    <row r="95" spans="5:7" x14ac:dyDescent="0.3">
      <c r="E95">
        <f t="shared" si="5"/>
        <v>2760</v>
      </c>
      <c r="F95" t="e">
        <f t="shared" si="3"/>
        <v>#DIV/0!</v>
      </c>
      <c r="G95" t="e">
        <f t="shared" si="4"/>
        <v>#DIV/0!</v>
      </c>
    </row>
    <row r="96" spans="5:7" x14ac:dyDescent="0.3">
      <c r="E96">
        <f t="shared" si="5"/>
        <v>2790</v>
      </c>
      <c r="F96" t="e">
        <f t="shared" si="3"/>
        <v>#DIV/0!</v>
      </c>
      <c r="G96" t="e">
        <f t="shared" si="4"/>
        <v>#DIV/0!</v>
      </c>
    </row>
    <row r="97" spans="5:7" x14ac:dyDescent="0.3">
      <c r="E97">
        <f t="shared" si="5"/>
        <v>2820</v>
      </c>
      <c r="F97" t="e">
        <f t="shared" si="3"/>
        <v>#DIV/0!</v>
      </c>
      <c r="G97" t="e">
        <f t="shared" si="4"/>
        <v>#DIV/0!</v>
      </c>
    </row>
    <row r="98" spans="5:7" x14ac:dyDescent="0.3">
      <c r="E98">
        <f t="shared" si="5"/>
        <v>2850</v>
      </c>
      <c r="F98" t="e">
        <f t="shared" si="3"/>
        <v>#DIV/0!</v>
      </c>
      <c r="G98" t="e">
        <f t="shared" si="4"/>
        <v>#DIV/0!</v>
      </c>
    </row>
    <row r="99" spans="5:7" x14ac:dyDescent="0.3">
      <c r="E99">
        <f t="shared" si="5"/>
        <v>2880</v>
      </c>
      <c r="F99" t="e">
        <f t="shared" si="3"/>
        <v>#DIV/0!</v>
      </c>
      <c r="G99" t="e">
        <f t="shared" si="4"/>
        <v>#DIV/0!</v>
      </c>
    </row>
    <row r="100" spans="5:7" x14ac:dyDescent="0.3">
      <c r="E100">
        <f t="shared" si="5"/>
        <v>2910</v>
      </c>
      <c r="F100" t="e">
        <f t="shared" si="3"/>
        <v>#DIV/0!</v>
      </c>
      <c r="G100" t="e">
        <f t="shared" si="4"/>
        <v>#DIV/0!</v>
      </c>
    </row>
    <row r="101" spans="5:7" x14ac:dyDescent="0.3">
      <c r="E101">
        <f t="shared" si="5"/>
        <v>2940</v>
      </c>
      <c r="F101" t="e">
        <f t="shared" si="3"/>
        <v>#DIV/0!</v>
      </c>
      <c r="G101" t="e">
        <f t="shared" si="4"/>
        <v>#DIV/0!</v>
      </c>
    </row>
    <row r="102" spans="5:7" x14ac:dyDescent="0.3">
      <c r="E102">
        <f t="shared" si="5"/>
        <v>2970</v>
      </c>
      <c r="F102" t="e">
        <f t="shared" si="3"/>
        <v>#DIV/0!</v>
      </c>
      <c r="G102" t="e">
        <f t="shared" si="4"/>
        <v>#DIV/0!</v>
      </c>
    </row>
    <row r="103" spans="5:7" x14ac:dyDescent="0.3">
      <c r="E103">
        <f t="shared" si="5"/>
        <v>3000</v>
      </c>
      <c r="F103" t="e">
        <f t="shared" si="3"/>
        <v>#DIV/0!</v>
      </c>
      <c r="G103" t="e">
        <f t="shared" si="4"/>
        <v>#DIV/0!</v>
      </c>
    </row>
    <row r="104" spans="5:7" x14ac:dyDescent="0.3">
      <c r="E104">
        <f t="shared" si="5"/>
        <v>3030</v>
      </c>
      <c r="F104">
        <f>($C$3/2)+(($B$3-$C$3)/2)*(((1-($E104/$D$3))^3)/(((1-($A$3/$D$3))^2)))</f>
        <v>621.287375</v>
      </c>
      <c r="G104" t="str">
        <f t="shared" si="4"/>
        <v>SPLINE 3030,621.287375</v>
      </c>
    </row>
    <row r="105" spans="5:7" x14ac:dyDescent="0.3">
      <c r="E105">
        <f t="shared" si="5"/>
        <v>3060</v>
      </c>
      <c r="F105">
        <f t="shared" ref="F105:F168" si="6">($C$3/2)+(($B$3-$C$3)/2)*(((1-($E105/$D$3))^3)/(((1-($A$3/$D$3))^2)))</f>
        <v>617.649</v>
      </c>
      <c r="G105" t="str">
        <f t="shared" si="4"/>
        <v>SPLINE 3060,617.649</v>
      </c>
    </row>
    <row r="106" spans="5:7" x14ac:dyDescent="0.3">
      <c r="E106">
        <f t="shared" si="5"/>
        <v>3090</v>
      </c>
      <c r="F106">
        <f t="shared" si="6"/>
        <v>614.08412499999997</v>
      </c>
      <c r="G106" t="str">
        <f t="shared" si="4"/>
        <v>SPLINE 3090,614.084125</v>
      </c>
    </row>
    <row r="107" spans="5:7" x14ac:dyDescent="0.3">
      <c r="E107">
        <f t="shared" si="5"/>
        <v>3120</v>
      </c>
      <c r="F107">
        <f t="shared" si="6"/>
        <v>610.59199999999998</v>
      </c>
      <c r="G107" t="str">
        <f t="shared" si="4"/>
        <v>SPLINE 3120,610.592</v>
      </c>
    </row>
    <row r="108" spans="5:7" x14ac:dyDescent="0.3">
      <c r="E108">
        <f t="shared" si="5"/>
        <v>3150</v>
      </c>
      <c r="F108">
        <f t="shared" si="6"/>
        <v>607.171875</v>
      </c>
      <c r="G108" t="str">
        <f t="shared" si="4"/>
        <v>SPLINE 3150,607.171875</v>
      </c>
    </row>
    <row r="109" spans="5:7" x14ac:dyDescent="0.3">
      <c r="E109">
        <f t="shared" si="5"/>
        <v>3180</v>
      </c>
      <c r="F109">
        <f t="shared" si="6"/>
        <v>603.82299999999998</v>
      </c>
      <c r="G109" t="str">
        <f t="shared" si="4"/>
        <v>SPLINE 3180,603.823</v>
      </c>
    </row>
    <row r="110" spans="5:7" x14ac:dyDescent="0.3">
      <c r="E110">
        <f t="shared" si="5"/>
        <v>3210</v>
      </c>
      <c r="F110">
        <f t="shared" si="6"/>
        <v>600.544625</v>
      </c>
      <c r="G110" t="str">
        <f t="shared" si="4"/>
        <v>SPLINE 3210,600.544625</v>
      </c>
    </row>
    <row r="111" spans="5:7" x14ac:dyDescent="0.3">
      <c r="E111">
        <f t="shared" si="5"/>
        <v>3240</v>
      </c>
      <c r="F111">
        <f t="shared" si="6"/>
        <v>597.33600000000001</v>
      </c>
      <c r="G111" t="str">
        <f t="shared" si="4"/>
        <v>SPLINE 3240,597.336</v>
      </c>
    </row>
    <row r="112" spans="5:7" x14ac:dyDescent="0.3">
      <c r="E112">
        <f t="shared" si="5"/>
        <v>3270</v>
      </c>
      <c r="F112">
        <f t="shared" si="6"/>
        <v>594.19637499999999</v>
      </c>
      <c r="G112" t="str">
        <f t="shared" si="4"/>
        <v>SPLINE 3270,594.196375</v>
      </c>
    </row>
    <row r="113" spans="5:7" x14ac:dyDescent="0.3">
      <c r="E113">
        <f t="shared" si="5"/>
        <v>3300</v>
      </c>
      <c r="F113">
        <f t="shared" si="6"/>
        <v>591.125</v>
      </c>
      <c r="G113" t="str">
        <f t="shared" si="4"/>
        <v>SPLINE 3300,591.125</v>
      </c>
    </row>
    <row r="114" spans="5:7" x14ac:dyDescent="0.3">
      <c r="E114">
        <f t="shared" si="5"/>
        <v>3330</v>
      </c>
      <c r="F114">
        <f t="shared" si="6"/>
        <v>588.12112500000001</v>
      </c>
      <c r="G114" t="str">
        <f t="shared" si="4"/>
        <v>SPLINE 3330,588.121125</v>
      </c>
    </row>
    <row r="115" spans="5:7" x14ac:dyDescent="0.3">
      <c r="E115">
        <f t="shared" si="5"/>
        <v>3360</v>
      </c>
      <c r="F115">
        <f t="shared" si="6"/>
        <v>585.18399999999997</v>
      </c>
      <c r="G115" t="str">
        <f t="shared" si="4"/>
        <v>SPLINE 3360,585.184</v>
      </c>
    </row>
    <row r="116" spans="5:7" x14ac:dyDescent="0.3">
      <c r="E116">
        <f t="shared" si="5"/>
        <v>3390</v>
      </c>
      <c r="F116">
        <f t="shared" si="6"/>
        <v>582.31287500000008</v>
      </c>
      <c r="G116" t="str">
        <f t="shared" si="4"/>
        <v>SPLINE 3390,582.312875</v>
      </c>
    </row>
    <row r="117" spans="5:7" x14ac:dyDescent="0.3">
      <c r="E117">
        <f t="shared" si="5"/>
        <v>3420</v>
      </c>
      <c r="F117">
        <f t="shared" si="6"/>
        <v>579.50700000000006</v>
      </c>
      <c r="G117" t="str">
        <f t="shared" si="4"/>
        <v>SPLINE 3420,579.507</v>
      </c>
    </row>
    <row r="118" spans="5:7" x14ac:dyDescent="0.3">
      <c r="E118">
        <f t="shared" si="5"/>
        <v>3450</v>
      </c>
      <c r="F118">
        <f t="shared" si="6"/>
        <v>576.765625</v>
      </c>
      <c r="G118" t="str">
        <f t="shared" si="4"/>
        <v>SPLINE 3450,576.765625</v>
      </c>
    </row>
    <row r="119" spans="5:7" x14ac:dyDescent="0.3">
      <c r="E119">
        <f t="shared" si="5"/>
        <v>3480</v>
      </c>
      <c r="F119">
        <f t="shared" si="6"/>
        <v>574.08799999999997</v>
      </c>
      <c r="G119" t="str">
        <f t="shared" si="4"/>
        <v>SPLINE 3480,574.088</v>
      </c>
    </row>
    <row r="120" spans="5:7" x14ac:dyDescent="0.3">
      <c r="E120">
        <f t="shared" si="5"/>
        <v>3510</v>
      </c>
      <c r="F120">
        <f t="shared" si="6"/>
        <v>571.47337500000003</v>
      </c>
      <c r="G120" t="str">
        <f t="shared" si="4"/>
        <v>SPLINE 3510,571.473375</v>
      </c>
    </row>
    <row r="121" spans="5:7" x14ac:dyDescent="0.3">
      <c r="E121">
        <f t="shared" si="5"/>
        <v>3540</v>
      </c>
      <c r="F121">
        <f t="shared" si="6"/>
        <v>568.92100000000005</v>
      </c>
      <c r="G121" t="str">
        <f t="shared" si="4"/>
        <v>SPLINE 3540,568.921</v>
      </c>
    </row>
    <row r="122" spans="5:7" x14ac:dyDescent="0.3">
      <c r="E122">
        <f t="shared" si="5"/>
        <v>3570</v>
      </c>
      <c r="F122">
        <f t="shared" si="6"/>
        <v>566.43012499999998</v>
      </c>
      <c r="G122" t="str">
        <f t="shared" si="4"/>
        <v>SPLINE 3570,566.430125</v>
      </c>
    </row>
    <row r="123" spans="5:7" x14ac:dyDescent="0.3">
      <c r="E123">
        <f t="shared" si="5"/>
        <v>3600</v>
      </c>
      <c r="F123">
        <f t="shared" si="6"/>
        <v>564</v>
      </c>
      <c r="G123" t="str">
        <f t="shared" si="4"/>
        <v>SPLINE 3600,564</v>
      </c>
    </row>
    <row r="124" spans="5:7" x14ac:dyDescent="0.3">
      <c r="E124">
        <f t="shared" si="5"/>
        <v>3630</v>
      </c>
      <c r="F124">
        <f t="shared" si="6"/>
        <v>561.62987499999997</v>
      </c>
      <c r="G124" t="str">
        <f t="shared" si="4"/>
        <v>SPLINE 3630,561.629875</v>
      </c>
    </row>
    <row r="125" spans="5:7" x14ac:dyDescent="0.3">
      <c r="E125">
        <f t="shared" si="5"/>
        <v>3660</v>
      </c>
      <c r="F125">
        <f t="shared" si="6"/>
        <v>559.31899999999996</v>
      </c>
      <c r="G125" t="str">
        <f t="shared" si="4"/>
        <v>SPLINE 3660,559.319</v>
      </c>
    </row>
    <row r="126" spans="5:7" x14ac:dyDescent="0.3">
      <c r="E126">
        <f t="shared" si="5"/>
        <v>3690</v>
      </c>
      <c r="F126">
        <f t="shared" si="6"/>
        <v>557.06662500000004</v>
      </c>
      <c r="G126" t="str">
        <f t="shared" si="4"/>
        <v>SPLINE 3690,557.066625</v>
      </c>
    </row>
    <row r="127" spans="5:7" x14ac:dyDescent="0.3">
      <c r="E127">
        <f t="shared" si="5"/>
        <v>3720</v>
      </c>
      <c r="F127">
        <f t="shared" si="6"/>
        <v>554.87199999999996</v>
      </c>
      <c r="G127" t="str">
        <f t="shared" si="4"/>
        <v>SPLINE 3720,554.872</v>
      </c>
    </row>
    <row r="128" spans="5:7" x14ac:dyDescent="0.3">
      <c r="E128">
        <f t="shared" si="5"/>
        <v>3750</v>
      </c>
      <c r="F128">
        <f t="shared" si="6"/>
        <v>552.734375</v>
      </c>
      <c r="G128" t="str">
        <f t="shared" si="4"/>
        <v>SPLINE 3750,552.734375</v>
      </c>
    </row>
    <row r="129" spans="3:7" x14ac:dyDescent="0.3">
      <c r="E129">
        <f t="shared" si="5"/>
        <v>3780</v>
      </c>
      <c r="F129">
        <f t="shared" si="6"/>
        <v>550.65300000000002</v>
      </c>
      <c r="G129" t="str">
        <f t="shared" si="4"/>
        <v>SPLINE 3780,550.653</v>
      </c>
    </row>
    <row r="130" spans="3:7" x14ac:dyDescent="0.3">
      <c r="C130" s="1"/>
      <c r="E130">
        <f t="shared" si="5"/>
        <v>3810</v>
      </c>
      <c r="F130">
        <f t="shared" si="6"/>
        <v>548.62712499999998</v>
      </c>
      <c r="G130" t="str">
        <f t="shared" si="4"/>
        <v>SPLINE 3810,548.627125</v>
      </c>
    </row>
    <row r="131" spans="3:7" x14ac:dyDescent="0.3">
      <c r="E131">
        <f t="shared" si="5"/>
        <v>3840</v>
      </c>
      <c r="F131">
        <f t="shared" si="6"/>
        <v>546.65599999999995</v>
      </c>
      <c r="G131" t="str">
        <f t="shared" si="4"/>
        <v>SPLINE 3840,546.656</v>
      </c>
    </row>
    <row r="132" spans="3:7" x14ac:dyDescent="0.3">
      <c r="E132">
        <f t="shared" si="5"/>
        <v>3870</v>
      </c>
      <c r="F132">
        <f t="shared" si="6"/>
        <v>544.73887500000001</v>
      </c>
      <c r="G132" t="str">
        <f t="shared" si="4"/>
        <v>SPLINE 3870,544.738875</v>
      </c>
    </row>
    <row r="133" spans="3:7" x14ac:dyDescent="0.3">
      <c r="E133">
        <f t="shared" ref="E133:E196" si="7">E132+($D$3/200)</f>
        <v>3900</v>
      </c>
      <c r="F133">
        <f t="shared" si="6"/>
        <v>542.875</v>
      </c>
      <c r="G133" t="str">
        <f t="shared" ref="G133:G196" si="8">CONCATENATE("SPLINE ",$E133,",",$F133)</f>
        <v>SPLINE 3900,542.875</v>
      </c>
    </row>
    <row r="134" spans="3:7" x14ac:dyDescent="0.3">
      <c r="E134">
        <f t="shared" si="7"/>
        <v>3930</v>
      </c>
      <c r="F134">
        <f t="shared" si="6"/>
        <v>541.063625</v>
      </c>
      <c r="G134" t="str">
        <f t="shared" si="8"/>
        <v>SPLINE 3930,541.063625</v>
      </c>
    </row>
    <row r="135" spans="3:7" x14ac:dyDescent="0.3">
      <c r="E135">
        <f t="shared" si="7"/>
        <v>3960</v>
      </c>
      <c r="F135">
        <f t="shared" si="6"/>
        <v>539.30399999999997</v>
      </c>
      <c r="G135" t="str">
        <f t="shared" si="8"/>
        <v>SPLINE 3960,539.304</v>
      </c>
    </row>
    <row r="136" spans="3:7" x14ac:dyDescent="0.3">
      <c r="E136">
        <f t="shared" si="7"/>
        <v>3990</v>
      </c>
      <c r="F136">
        <f t="shared" si="6"/>
        <v>537.59537499999999</v>
      </c>
      <c r="G136" t="str">
        <f t="shared" si="8"/>
        <v>SPLINE 3990,537.595375</v>
      </c>
    </row>
    <row r="137" spans="3:7" x14ac:dyDescent="0.3">
      <c r="E137">
        <f t="shared" si="7"/>
        <v>4020</v>
      </c>
      <c r="F137">
        <f t="shared" si="6"/>
        <v>535.93700000000001</v>
      </c>
      <c r="G137" t="str">
        <f t="shared" si="8"/>
        <v>SPLINE 4020,535.937</v>
      </c>
    </row>
    <row r="138" spans="3:7" x14ac:dyDescent="0.3">
      <c r="E138">
        <f t="shared" si="7"/>
        <v>4050</v>
      </c>
      <c r="F138">
        <f t="shared" si="6"/>
        <v>534.328125</v>
      </c>
      <c r="G138" t="str">
        <f t="shared" si="8"/>
        <v>SPLINE 4050,534.328125</v>
      </c>
    </row>
    <row r="139" spans="3:7" x14ac:dyDescent="0.3">
      <c r="E139">
        <f t="shared" si="7"/>
        <v>4080</v>
      </c>
      <c r="F139">
        <f t="shared" si="6"/>
        <v>532.76800000000003</v>
      </c>
      <c r="G139" t="str">
        <f t="shared" si="8"/>
        <v>SPLINE 4080,532.768</v>
      </c>
    </row>
    <row r="140" spans="3:7" x14ac:dyDescent="0.3">
      <c r="E140">
        <f t="shared" si="7"/>
        <v>4110</v>
      </c>
      <c r="F140">
        <f t="shared" si="6"/>
        <v>531.25587499999995</v>
      </c>
      <c r="G140" t="str">
        <f t="shared" si="8"/>
        <v>SPLINE 4110,531.255875</v>
      </c>
    </row>
    <row r="141" spans="3:7" x14ac:dyDescent="0.3">
      <c r="E141">
        <f t="shared" si="7"/>
        <v>4140</v>
      </c>
      <c r="F141">
        <f t="shared" si="6"/>
        <v>529.79100000000005</v>
      </c>
      <c r="G141" t="str">
        <f t="shared" si="8"/>
        <v>SPLINE 4140,529.791</v>
      </c>
    </row>
    <row r="142" spans="3:7" x14ac:dyDescent="0.3">
      <c r="E142">
        <f t="shared" si="7"/>
        <v>4170</v>
      </c>
      <c r="F142">
        <f t="shared" si="6"/>
        <v>528.37262499999997</v>
      </c>
      <c r="G142" t="str">
        <f t="shared" si="8"/>
        <v>SPLINE 4170,528.372625</v>
      </c>
    </row>
    <row r="143" spans="3:7" x14ac:dyDescent="0.3">
      <c r="E143">
        <f t="shared" si="7"/>
        <v>4200</v>
      </c>
      <c r="F143">
        <f t="shared" si="6"/>
        <v>527</v>
      </c>
      <c r="G143" t="str">
        <f t="shared" si="8"/>
        <v>SPLINE 4200,527</v>
      </c>
    </row>
    <row r="144" spans="3:7" x14ac:dyDescent="0.3">
      <c r="E144">
        <f t="shared" si="7"/>
        <v>4230</v>
      </c>
      <c r="F144">
        <f t="shared" si="6"/>
        <v>525.67237499999999</v>
      </c>
      <c r="G144" t="str">
        <f t="shared" si="8"/>
        <v>SPLINE 4230,525.672375</v>
      </c>
    </row>
    <row r="145" spans="5:7" x14ac:dyDescent="0.3">
      <c r="E145">
        <f t="shared" si="7"/>
        <v>4260</v>
      </c>
      <c r="F145">
        <f t="shared" si="6"/>
        <v>524.38900000000001</v>
      </c>
      <c r="G145" t="str">
        <f t="shared" si="8"/>
        <v>SPLINE 4260,524.389</v>
      </c>
    </row>
    <row r="146" spans="5:7" x14ac:dyDescent="0.3">
      <c r="E146">
        <f t="shared" si="7"/>
        <v>4290</v>
      </c>
      <c r="F146">
        <f t="shared" si="6"/>
        <v>523.14912500000003</v>
      </c>
      <c r="G146" t="str">
        <f t="shared" si="8"/>
        <v>SPLINE 4290,523.149125</v>
      </c>
    </row>
    <row r="147" spans="5:7" x14ac:dyDescent="0.3">
      <c r="E147">
        <f t="shared" si="7"/>
        <v>4320</v>
      </c>
      <c r="F147">
        <f t="shared" si="6"/>
        <v>521.952</v>
      </c>
      <c r="G147" t="str">
        <f t="shared" si="8"/>
        <v>SPLINE 4320,521.952</v>
      </c>
    </row>
    <row r="148" spans="5:7" x14ac:dyDescent="0.3">
      <c r="E148">
        <f t="shared" si="7"/>
        <v>4350</v>
      </c>
      <c r="F148">
        <f t="shared" si="6"/>
        <v>520.796875</v>
      </c>
      <c r="G148" t="str">
        <f t="shared" si="8"/>
        <v>SPLINE 4350,520.796875</v>
      </c>
    </row>
    <row r="149" spans="5:7" x14ac:dyDescent="0.3">
      <c r="E149">
        <f t="shared" si="7"/>
        <v>4380</v>
      </c>
      <c r="F149">
        <f t="shared" si="6"/>
        <v>519.68299999999999</v>
      </c>
      <c r="G149" t="str">
        <f t="shared" si="8"/>
        <v>SPLINE 4380,519.683</v>
      </c>
    </row>
    <row r="150" spans="5:7" x14ac:dyDescent="0.3">
      <c r="E150">
        <f t="shared" si="7"/>
        <v>4410</v>
      </c>
      <c r="F150">
        <f t="shared" si="6"/>
        <v>518.60962500000005</v>
      </c>
      <c r="G150" t="str">
        <f t="shared" si="8"/>
        <v>SPLINE 4410,518.609625</v>
      </c>
    </row>
    <row r="151" spans="5:7" x14ac:dyDescent="0.3">
      <c r="E151">
        <f t="shared" si="7"/>
        <v>4440</v>
      </c>
      <c r="F151">
        <f t="shared" si="6"/>
        <v>517.57600000000002</v>
      </c>
      <c r="G151" t="str">
        <f t="shared" si="8"/>
        <v>SPLINE 4440,517.576</v>
      </c>
    </row>
    <row r="152" spans="5:7" x14ac:dyDescent="0.3">
      <c r="E152">
        <f t="shared" si="7"/>
        <v>4470</v>
      </c>
      <c r="F152">
        <f t="shared" si="6"/>
        <v>516.58137499999998</v>
      </c>
      <c r="G152" t="str">
        <f t="shared" si="8"/>
        <v>SPLINE 4470,516.581375</v>
      </c>
    </row>
    <row r="153" spans="5:7" x14ac:dyDescent="0.3">
      <c r="E153">
        <f t="shared" si="7"/>
        <v>4500</v>
      </c>
      <c r="F153">
        <f t="shared" si="6"/>
        <v>515.625</v>
      </c>
      <c r="G153" t="str">
        <f t="shared" si="8"/>
        <v>SPLINE 4500,515.625</v>
      </c>
    </row>
    <row r="154" spans="5:7" x14ac:dyDescent="0.3">
      <c r="E154">
        <f t="shared" si="7"/>
        <v>4530</v>
      </c>
      <c r="F154">
        <f t="shared" si="6"/>
        <v>514.70612500000004</v>
      </c>
      <c r="G154" t="str">
        <f t="shared" si="8"/>
        <v>SPLINE 4530,514.706125</v>
      </c>
    </row>
    <row r="155" spans="5:7" x14ac:dyDescent="0.3">
      <c r="E155">
        <f t="shared" si="7"/>
        <v>4560</v>
      </c>
      <c r="F155">
        <f t="shared" si="6"/>
        <v>513.82399999999996</v>
      </c>
      <c r="G155" t="str">
        <f t="shared" si="8"/>
        <v>SPLINE 4560,513.824</v>
      </c>
    </row>
    <row r="156" spans="5:7" x14ac:dyDescent="0.3">
      <c r="E156">
        <f t="shared" si="7"/>
        <v>4590</v>
      </c>
      <c r="F156">
        <f t="shared" si="6"/>
        <v>512.97787500000004</v>
      </c>
      <c r="G156" t="str">
        <f t="shared" si="8"/>
        <v>SPLINE 4590,512.977875</v>
      </c>
    </row>
    <row r="157" spans="5:7" x14ac:dyDescent="0.3">
      <c r="E157">
        <f t="shared" si="7"/>
        <v>4620</v>
      </c>
      <c r="F157">
        <f t="shared" si="6"/>
        <v>512.16700000000003</v>
      </c>
      <c r="G157" t="str">
        <f t="shared" si="8"/>
        <v>SPLINE 4620,512.167</v>
      </c>
    </row>
    <row r="158" spans="5:7" x14ac:dyDescent="0.3">
      <c r="E158">
        <f t="shared" si="7"/>
        <v>4650</v>
      </c>
      <c r="F158">
        <f t="shared" si="6"/>
        <v>511.390625</v>
      </c>
      <c r="G158" t="str">
        <f t="shared" si="8"/>
        <v>SPLINE 4650,511.390625</v>
      </c>
    </row>
    <row r="159" spans="5:7" x14ac:dyDescent="0.3">
      <c r="E159">
        <f t="shared" si="7"/>
        <v>4680</v>
      </c>
      <c r="F159">
        <f t="shared" si="6"/>
        <v>510.64800000000002</v>
      </c>
      <c r="G159" t="str">
        <f t="shared" si="8"/>
        <v>SPLINE 4680,510.648</v>
      </c>
    </row>
    <row r="160" spans="5:7" x14ac:dyDescent="0.3">
      <c r="E160">
        <f t="shared" si="7"/>
        <v>4710</v>
      </c>
      <c r="F160">
        <f t="shared" si="6"/>
        <v>509.93837500000001</v>
      </c>
      <c r="G160" t="str">
        <f t="shared" si="8"/>
        <v>SPLINE 4710,509.938375</v>
      </c>
    </row>
    <row r="161" spans="5:7" x14ac:dyDescent="0.3">
      <c r="E161">
        <f t="shared" si="7"/>
        <v>4740</v>
      </c>
      <c r="F161">
        <f t="shared" si="6"/>
        <v>509.26099999999997</v>
      </c>
      <c r="G161" t="str">
        <f t="shared" si="8"/>
        <v>SPLINE 4740,509.261</v>
      </c>
    </row>
    <row r="162" spans="5:7" x14ac:dyDescent="0.3">
      <c r="E162">
        <f t="shared" si="7"/>
        <v>4770</v>
      </c>
      <c r="F162">
        <f t="shared" si="6"/>
        <v>508.61512499999998</v>
      </c>
      <c r="G162" t="str">
        <f t="shared" si="8"/>
        <v>SPLINE 4770,508.615125</v>
      </c>
    </row>
    <row r="163" spans="5:7" x14ac:dyDescent="0.3">
      <c r="E163">
        <f t="shared" si="7"/>
        <v>4800</v>
      </c>
      <c r="F163">
        <f t="shared" si="6"/>
        <v>508</v>
      </c>
      <c r="G163" t="str">
        <f t="shared" si="8"/>
        <v>SPLINE 4800,508</v>
      </c>
    </row>
    <row r="164" spans="5:7" x14ac:dyDescent="0.3">
      <c r="E164">
        <f t="shared" si="7"/>
        <v>4830</v>
      </c>
      <c r="F164">
        <f t="shared" si="6"/>
        <v>507.41487499999999</v>
      </c>
      <c r="G164" t="str">
        <f t="shared" si="8"/>
        <v>SPLINE 4830,507.414875</v>
      </c>
    </row>
    <row r="165" spans="5:7" x14ac:dyDescent="0.3">
      <c r="E165">
        <f t="shared" si="7"/>
        <v>4860</v>
      </c>
      <c r="F165">
        <f t="shared" si="6"/>
        <v>506.85899999999998</v>
      </c>
      <c r="G165" t="str">
        <f t="shared" si="8"/>
        <v>SPLINE 4860,506.859</v>
      </c>
    </row>
    <row r="166" spans="5:7" x14ac:dyDescent="0.3">
      <c r="E166">
        <f t="shared" si="7"/>
        <v>4890</v>
      </c>
      <c r="F166">
        <f t="shared" si="6"/>
        <v>506.33162500000003</v>
      </c>
      <c r="G166" t="str">
        <f t="shared" si="8"/>
        <v>SPLINE 4890,506.331625</v>
      </c>
    </row>
    <row r="167" spans="5:7" x14ac:dyDescent="0.3">
      <c r="E167">
        <f t="shared" si="7"/>
        <v>4920</v>
      </c>
      <c r="F167">
        <f t="shared" si="6"/>
        <v>505.83199999999999</v>
      </c>
      <c r="G167" t="str">
        <f t="shared" si="8"/>
        <v>SPLINE 4920,505.832</v>
      </c>
    </row>
    <row r="168" spans="5:7" x14ac:dyDescent="0.3">
      <c r="E168">
        <f t="shared" si="7"/>
        <v>4950</v>
      </c>
      <c r="F168">
        <f t="shared" si="6"/>
        <v>505.359375</v>
      </c>
      <c r="G168" t="str">
        <f t="shared" si="8"/>
        <v>SPLINE 4950,505.359375</v>
      </c>
    </row>
    <row r="169" spans="5:7" x14ac:dyDescent="0.3">
      <c r="E169">
        <f t="shared" si="7"/>
        <v>4980</v>
      </c>
      <c r="F169">
        <f t="shared" ref="F169:F203" si="9">($C$3/2)+(($B$3-$C$3)/2)*(((1-($E169/$D$3))^3)/(((1-($A$3/$D$3))^2)))</f>
        <v>504.91300000000001</v>
      </c>
      <c r="G169" t="str">
        <f t="shared" si="8"/>
        <v>SPLINE 4980,504.913</v>
      </c>
    </row>
    <row r="170" spans="5:7" x14ac:dyDescent="0.3">
      <c r="E170">
        <f t="shared" si="7"/>
        <v>5010</v>
      </c>
      <c r="F170">
        <f t="shared" si="9"/>
        <v>504.49212499999999</v>
      </c>
      <c r="G170" t="str">
        <f t="shared" si="8"/>
        <v>SPLINE 5010,504.492125</v>
      </c>
    </row>
    <row r="171" spans="5:7" x14ac:dyDescent="0.3">
      <c r="E171">
        <f t="shared" si="7"/>
        <v>5040</v>
      </c>
      <c r="F171">
        <f t="shared" si="9"/>
        <v>504.096</v>
      </c>
      <c r="G171" t="str">
        <f t="shared" si="8"/>
        <v>SPLINE 5040,504.096</v>
      </c>
    </row>
    <row r="172" spans="5:7" x14ac:dyDescent="0.3">
      <c r="E172">
        <f t="shared" si="7"/>
        <v>5070</v>
      </c>
      <c r="F172">
        <f t="shared" si="9"/>
        <v>503.72387500000002</v>
      </c>
      <c r="G172" t="str">
        <f t="shared" si="8"/>
        <v>SPLINE 5070,503.723875</v>
      </c>
    </row>
    <row r="173" spans="5:7" x14ac:dyDescent="0.3">
      <c r="E173">
        <f t="shared" si="7"/>
        <v>5100</v>
      </c>
      <c r="F173">
        <f t="shared" si="9"/>
        <v>503.375</v>
      </c>
      <c r="G173" t="str">
        <f t="shared" si="8"/>
        <v>SPLINE 5100,503.375</v>
      </c>
    </row>
    <row r="174" spans="5:7" x14ac:dyDescent="0.3">
      <c r="E174">
        <f t="shared" si="7"/>
        <v>5130</v>
      </c>
      <c r="F174">
        <f t="shared" si="9"/>
        <v>503.04862500000002</v>
      </c>
      <c r="G174" t="str">
        <f t="shared" si="8"/>
        <v>SPLINE 5130,503.048625</v>
      </c>
    </row>
    <row r="175" spans="5:7" x14ac:dyDescent="0.3">
      <c r="E175">
        <f t="shared" si="7"/>
        <v>5160</v>
      </c>
      <c r="F175">
        <f t="shared" si="9"/>
        <v>502.74400000000003</v>
      </c>
      <c r="G175" t="str">
        <f t="shared" si="8"/>
        <v>SPLINE 5160,502.744</v>
      </c>
    </row>
    <row r="176" spans="5:7" x14ac:dyDescent="0.3">
      <c r="E176">
        <f t="shared" si="7"/>
        <v>5190</v>
      </c>
      <c r="F176">
        <f t="shared" si="9"/>
        <v>502.460375</v>
      </c>
      <c r="G176" t="str">
        <f t="shared" si="8"/>
        <v>SPLINE 5190,502.460375</v>
      </c>
    </row>
    <row r="177" spans="5:7" x14ac:dyDescent="0.3">
      <c r="E177">
        <f t="shared" si="7"/>
        <v>5220</v>
      </c>
      <c r="F177">
        <f t="shared" si="9"/>
        <v>502.197</v>
      </c>
      <c r="G177" t="str">
        <f t="shared" si="8"/>
        <v>SPLINE 5220,502.197</v>
      </c>
    </row>
    <row r="178" spans="5:7" x14ac:dyDescent="0.3">
      <c r="E178">
        <f t="shared" si="7"/>
        <v>5250</v>
      </c>
      <c r="F178">
        <f t="shared" si="9"/>
        <v>501.953125</v>
      </c>
      <c r="G178" t="str">
        <f t="shared" si="8"/>
        <v>SPLINE 5250,501.953125</v>
      </c>
    </row>
    <row r="179" spans="5:7" x14ac:dyDescent="0.3">
      <c r="E179">
        <f t="shared" si="7"/>
        <v>5280</v>
      </c>
      <c r="F179">
        <f t="shared" si="9"/>
        <v>501.72800000000001</v>
      </c>
      <c r="G179" t="str">
        <f t="shared" si="8"/>
        <v>SPLINE 5280,501.728</v>
      </c>
    </row>
    <row r="180" spans="5:7" x14ac:dyDescent="0.3">
      <c r="E180">
        <f t="shared" si="7"/>
        <v>5310</v>
      </c>
      <c r="F180">
        <f t="shared" si="9"/>
        <v>501.52087499999999</v>
      </c>
      <c r="G180" t="str">
        <f t="shared" si="8"/>
        <v>SPLINE 5310,501.520875</v>
      </c>
    </row>
    <row r="181" spans="5:7" x14ac:dyDescent="0.3">
      <c r="E181">
        <f t="shared" si="7"/>
        <v>5340</v>
      </c>
      <c r="F181">
        <f t="shared" si="9"/>
        <v>501.33100000000002</v>
      </c>
      <c r="G181" t="str">
        <f t="shared" si="8"/>
        <v>SPLINE 5340,501.331</v>
      </c>
    </row>
    <row r="182" spans="5:7" x14ac:dyDescent="0.3">
      <c r="E182">
        <f t="shared" si="7"/>
        <v>5370</v>
      </c>
      <c r="F182">
        <f t="shared" si="9"/>
        <v>501.157625</v>
      </c>
      <c r="G182" t="str">
        <f t="shared" si="8"/>
        <v>SPLINE 5370,501.157625</v>
      </c>
    </row>
    <row r="183" spans="5:7" x14ac:dyDescent="0.3">
      <c r="E183">
        <f t="shared" si="7"/>
        <v>5400</v>
      </c>
      <c r="F183">
        <f t="shared" si="9"/>
        <v>501</v>
      </c>
      <c r="G183" t="str">
        <f t="shared" si="8"/>
        <v>SPLINE 5400,501</v>
      </c>
    </row>
    <row r="184" spans="5:7" x14ac:dyDescent="0.3">
      <c r="E184">
        <f t="shared" si="7"/>
        <v>5430</v>
      </c>
      <c r="F184">
        <f t="shared" si="9"/>
        <v>500.85737499999999</v>
      </c>
      <c r="G184" t="str">
        <f t="shared" si="8"/>
        <v>SPLINE 5430,500.857375</v>
      </c>
    </row>
    <row r="185" spans="5:7" x14ac:dyDescent="0.3">
      <c r="E185">
        <f t="shared" si="7"/>
        <v>5460</v>
      </c>
      <c r="F185">
        <f t="shared" si="9"/>
        <v>500.72899999999998</v>
      </c>
      <c r="G185" t="str">
        <f t="shared" si="8"/>
        <v>SPLINE 5460,500.729</v>
      </c>
    </row>
    <row r="186" spans="5:7" x14ac:dyDescent="0.3">
      <c r="E186">
        <f t="shared" si="7"/>
        <v>5490</v>
      </c>
      <c r="F186">
        <f t="shared" si="9"/>
        <v>500.614125</v>
      </c>
      <c r="G186" t="str">
        <f t="shared" si="8"/>
        <v>SPLINE 5490,500.614125</v>
      </c>
    </row>
    <row r="187" spans="5:7" x14ac:dyDescent="0.3">
      <c r="E187">
        <f t="shared" si="7"/>
        <v>5520</v>
      </c>
      <c r="F187">
        <f t="shared" si="9"/>
        <v>500.512</v>
      </c>
      <c r="G187" t="str">
        <f t="shared" si="8"/>
        <v>SPLINE 5520,500.512</v>
      </c>
    </row>
    <row r="188" spans="5:7" x14ac:dyDescent="0.3">
      <c r="E188">
        <f t="shared" si="7"/>
        <v>5550</v>
      </c>
      <c r="F188">
        <f t="shared" si="9"/>
        <v>500.421875</v>
      </c>
      <c r="G188" t="str">
        <f t="shared" si="8"/>
        <v>SPLINE 5550,500.421875</v>
      </c>
    </row>
    <row r="189" spans="5:7" x14ac:dyDescent="0.3">
      <c r="E189">
        <f t="shared" si="7"/>
        <v>5580</v>
      </c>
      <c r="F189">
        <f t="shared" si="9"/>
        <v>500.34300000000002</v>
      </c>
      <c r="G189" t="str">
        <f t="shared" si="8"/>
        <v>SPLINE 5580,500.343</v>
      </c>
    </row>
    <row r="190" spans="5:7" x14ac:dyDescent="0.3">
      <c r="E190">
        <f t="shared" si="7"/>
        <v>5610</v>
      </c>
      <c r="F190">
        <f t="shared" si="9"/>
        <v>500.27462500000001</v>
      </c>
      <c r="G190" t="str">
        <f t="shared" si="8"/>
        <v>SPLINE 5610,500.274625</v>
      </c>
    </row>
    <row r="191" spans="5:7" x14ac:dyDescent="0.3">
      <c r="E191">
        <f t="shared" si="7"/>
        <v>5640</v>
      </c>
      <c r="F191">
        <f t="shared" si="9"/>
        <v>500.21600000000001</v>
      </c>
      <c r="G191" t="str">
        <f t="shared" si="8"/>
        <v>SPLINE 5640,500.216</v>
      </c>
    </row>
    <row r="192" spans="5:7" x14ac:dyDescent="0.3">
      <c r="E192">
        <f t="shared" si="7"/>
        <v>5670</v>
      </c>
      <c r="F192">
        <f t="shared" si="9"/>
        <v>500.16637500000002</v>
      </c>
      <c r="G192" t="str">
        <f t="shared" si="8"/>
        <v>SPLINE 5670,500.166375</v>
      </c>
    </row>
    <row r="193" spans="5:7" x14ac:dyDescent="0.3">
      <c r="E193">
        <f t="shared" si="7"/>
        <v>5700</v>
      </c>
      <c r="F193">
        <f t="shared" si="9"/>
        <v>500.125</v>
      </c>
      <c r="G193" t="str">
        <f t="shared" si="8"/>
        <v>SPLINE 5700,500.125</v>
      </c>
    </row>
    <row r="194" spans="5:7" x14ac:dyDescent="0.3">
      <c r="E194">
        <f t="shared" si="7"/>
        <v>5730</v>
      </c>
      <c r="F194">
        <f t="shared" si="9"/>
        <v>500.09112499999998</v>
      </c>
      <c r="G194" t="str">
        <f t="shared" si="8"/>
        <v>SPLINE 5730,500.091125</v>
      </c>
    </row>
    <row r="195" spans="5:7" x14ac:dyDescent="0.3">
      <c r="E195">
        <f t="shared" si="7"/>
        <v>5760</v>
      </c>
      <c r="F195">
        <f t="shared" si="9"/>
        <v>500.06400000000002</v>
      </c>
      <c r="G195" t="str">
        <f t="shared" si="8"/>
        <v>SPLINE 5760,500.064</v>
      </c>
    </row>
    <row r="196" spans="5:7" x14ac:dyDescent="0.3">
      <c r="E196">
        <f t="shared" si="7"/>
        <v>5790</v>
      </c>
      <c r="F196">
        <f t="shared" si="9"/>
        <v>500.04287499999998</v>
      </c>
      <c r="G196" t="str">
        <f t="shared" si="8"/>
        <v>SPLINE 5790,500.042875</v>
      </c>
    </row>
    <row r="197" spans="5:7" x14ac:dyDescent="0.3">
      <c r="E197">
        <f t="shared" ref="E197:E203" si="10">E196+($D$3/200)</f>
        <v>5820</v>
      </c>
      <c r="F197">
        <f t="shared" si="9"/>
        <v>500.02699999999999</v>
      </c>
      <c r="G197" t="str">
        <f t="shared" ref="G197:G203" si="11">CONCATENATE("SPLINE ",$E197,",",$F197)</f>
        <v>SPLINE 5820,500.027</v>
      </c>
    </row>
    <row r="198" spans="5:7" x14ac:dyDescent="0.3">
      <c r="E198">
        <f t="shared" si="10"/>
        <v>5850</v>
      </c>
      <c r="F198">
        <f t="shared" si="9"/>
        <v>500.015625</v>
      </c>
      <c r="G198" t="str">
        <f t="shared" si="11"/>
        <v>SPLINE 5850,500.015625</v>
      </c>
    </row>
    <row r="199" spans="5:7" x14ac:dyDescent="0.3">
      <c r="E199">
        <f t="shared" si="10"/>
        <v>5880</v>
      </c>
      <c r="F199">
        <f t="shared" si="9"/>
        <v>500.00799999999998</v>
      </c>
      <c r="G199" t="str">
        <f t="shared" si="11"/>
        <v>SPLINE 5880,500.008</v>
      </c>
    </row>
    <row r="200" spans="5:7" x14ac:dyDescent="0.3">
      <c r="E200">
        <f t="shared" si="10"/>
        <v>5910</v>
      </c>
      <c r="F200">
        <f t="shared" si="9"/>
        <v>500.00337500000001</v>
      </c>
      <c r="G200" t="str">
        <f t="shared" si="11"/>
        <v>SPLINE 5910,500.003375</v>
      </c>
    </row>
    <row r="201" spans="5:7" x14ac:dyDescent="0.3">
      <c r="E201">
        <f t="shared" si="10"/>
        <v>5940</v>
      </c>
      <c r="F201">
        <f t="shared" si="9"/>
        <v>500.00099999999998</v>
      </c>
      <c r="G201" t="str">
        <f t="shared" si="11"/>
        <v>SPLINE 5940,500.001</v>
      </c>
    </row>
    <row r="202" spans="5:7" x14ac:dyDescent="0.3">
      <c r="E202">
        <f t="shared" si="10"/>
        <v>5970</v>
      </c>
      <c r="F202">
        <f t="shared" si="9"/>
        <v>500.00012500000003</v>
      </c>
      <c r="G202" t="str">
        <f t="shared" si="11"/>
        <v>SPLINE 5970,500.000125</v>
      </c>
    </row>
    <row r="203" spans="5:7" x14ac:dyDescent="0.3">
      <c r="E203">
        <f t="shared" si="10"/>
        <v>6000</v>
      </c>
      <c r="F203">
        <f t="shared" si="9"/>
        <v>500</v>
      </c>
      <c r="G203" t="str">
        <f t="shared" si="11"/>
        <v>SPLINE 6000,500</v>
      </c>
    </row>
  </sheetData>
  <sheetProtection algorithmName="SHA-512" hashValue="jgZN7b6oaThIhsqqYKU3Ib09IuTg6DzCI8x2aoJDumPlbirP0dZjxa1QKbwXDYG4IDGGUOZB9f+jqplbdmHdrw==" saltValue="p1Y1PMedpIYDk+kQzeVk4Q==" spinCount="100000" sheet="1" objects="1" scenarios="1"/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B1064-09FD-4CC0-B9B7-3137F1BEA687}">
  <sheetPr codeName="Sheet4"/>
  <dimension ref="A1:K203"/>
  <sheetViews>
    <sheetView zoomScale="115" zoomScaleNormal="115" workbookViewId="0">
      <selection activeCell="F2" sqref="A2:F2"/>
    </sheetView>
  </sheetViews>
  <sheetFormatPr defaultRowHeight="16.5" zeroHeight="1" x14ac:dyDescent="0.3"/>
  <cols>
    <col min="2" max="2" width="14" bestFit="1" customWidth="1"/>
    <col min="6" max="6" width="9" customWidth="1"/>
    <col min="7" max="7" width="29.625" bestFit="1" customWidth="1"/>
    <col min="9" max="9" width="29.625" bestFit="1" customWidth="1"/>
    <col min="10" max="10" width="27.375" bestFit="1" customWidth="1"/>
  </cols>
  <sheetData>
    <row r="1" spans="1:11" x14ac:dyDescent="0.3">
      <c r="A1" s="2" t="s">
        <v>15</v>
      </c>
    </row>
    <row r="2" spans="1:11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</row>
    <row r="3" spans="1:11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 t="e">
        <f>(($B$3-$C$3)*(1-(((1/$A$3)^2)*(($E3^3)/$D$3)))+$C$3)</f>
        <v>#DIV/0!</v>
      </c>
      <c r="G3" t="e">
        <f t="shared" ref="G3:G34" si="0">CONCATENATE("SPLINE ",$E3,",",$F3)</f>
        <v>#DIV/0!</v>
      </c>
      <c r="H3">
        <f>1+0.0714285714285714</f>
        <v>1.0714285714285714</v>
      </c>
      <c r="I3" t="s">
        <v>16</v>
      </c>
    </row>
    <row r="4" spans="1:11" x14ac:dyDescent="0.3">
      <c r="E4">
        <f>E3+($D$3/200)</f>
        <v>30</v>
      </c>
      <c r="F4" t="e">
        <f t="shared" ref="F4:F67" si="1">(($B$3-$C$3)*(1-(((1/$A$3)^2)*(($E4^3)/$D$3)))+$C$3)</f>
        <v>#DIV/0!</v>
      </c>
      <c r="G4" t="e">
        <f t="shared" si="0"/>
        <v>#DIV/0!</v>
      </c>
      <c r="I4">
        <f>H3/I7</f>
        <v>10971428.571428571</v>
      </c>
    </row>
    <row r="5" spans="1:11" x14ac:dyDescent="0.3">
      <c r="E5">
        <f t="shared" ref="E5:E68" si="2">E4+($D$3/200)</f>
        <v>60</v>
      </c>
      <c r="F5" t="e">
        <f t="shared" si="1"/>
        <v>#DIV/0!</v>
      </c>
      <c r="G5" t="e">
        <f t="shared" si="0"/>
        <v>#DIV/0!</v>
      </c>
      <c r="I5" t="s">
        <v>17</v>
      </c>
      <c r="J5" s="7">
        <f>I4/(D3^3)</f>
        <v>5.0793650793650794E-5</v>
      </c>
    </row>
    <row r="6" spans="1:11" x14ac:dyDescent="0.3">
      <c r="E6">
        <f t="shared" si="2"/>
        <v>90</v>
      </c>
      <c r="F6" t="e">
        <f t="shared" si="1"/>
        <v>#DIV/0!</v>
      </c>
      <c r="G6" t="e">
        <f t="shared" si="0"/>
        <v>#DIV/0!</v>
      </c>
      <c r="J6">
        <v>3.4705002999999998E-2</v>
      </c>
      <c r="K6">
        <f>J6*6400</f>
        <v>222.11201919999999</v>
      </c>
    </row>
    <row r="7" spans="1:11" x14ac:dyDescent="0.3">
      <c r="E7">
        <f t="shared" si="2"/>
        <v>120</v>
      </c>
      <c r="F7" t="e">
        <f t="shared" si="1"/>
        <v>#DIV/0!</v>
      </c>
      <c r="G7" t="e">
        <f t="shared" si="0"/>
        <v>#DIV/0!</v>
      </c>
      <c r="I7">
        <f>(1/3200)^2</f>
        <v>9.7656250000000005E-8</v>
      </c>
      <c r="J7">
        <f>J6^3</f>
        <v>4.1799997792559159E-5</v>
      </c>
    </row>
    <row r="8" spans="1:11" x14ac:dyDescent="0.3">
      <c r="E8">
        <f t="shared" si="2"/>
        <v>150</v>
      </c>
      <c r="F8" t="e">
        <f t="shared" si="1"/>
        <v>#DIV/0!</v>
      </c>
      <c r="G8" t="e">
        <f t="shared" si="0"/>
        <v>#DIV/0!</v>
      </c>
      <c r="I8">
        <f>(1/6400)^3</f>
        <v>3.8146972656250006E-12</v>
      </c>
    </row>
    <row r="9" spans="1:11" x14ac:dyDescent="0.3">
      <c r="E9">
        <f t="shared" si="2"/>
        <v>180</v>
      </c>
      <c r="F9" t="e">
        <f t="shared" si="1"/>
        <v>#DIV/0!</v>
      </c>
      <c r="G9" t="e">
        <f t="shared" si="0"/>
        <v>#DIV/0!</v>
      </c>
      <c r="I9">
        <f>I7+I8</f>
        <v>9.7660064697265633E-8</v>
      </c>
    </row>
    <row r="10" spans="1:11" x14ac:dyDescent="0.3">
      <c r="E10">
        <f t="shared" si="2"/>
        <v>210</v>
      </c>
      <c r="F10" t="e">
        <f t="shared" si="1"/>
        <v>#DIV/0!</v>
      </c>
      <c r="G10" t="e">
        <f t="shared" si="0"/>
        <v>#DIV/0!</v>
      </c>
    </row>
    <row r="11" spans="1:11" x14ac:dyDescent="0.3">
      <c r="E11">
        <f t="shared" si="2"/>
        <v>240</v>
      </c>
      <c r="F11" t="e">
        <f t="shared" si="1"/>
        <v>#DIV/0!</v>
      </c>
      <c r="G11" t="e">
        <f t="shared" si="0"/>
        <v>#DIV/0!</v>
      </c>
    </row>
    <row r="12" spans="1:11" x14ac:dyDescent="0.3">
      <c r="E12">
        <f t="shared" si="2"/>
        <v>270</v>
      </c>
      <c r="F12" t="e">
        <f t="shared" si="1"/>
        <v>#DIV/0!</v>
      </c>
      <c r="G12" t="e">
        <f t="shared" si="0"/>
        <v>#DIV/0!</v>
      </c>
      <c r="H12">
        <v>250</v>
      </c>
      <c r="I12">
        <f>H12/3500</f>
        <v>7.1428571428571425E-2</v>
      </c>
    </row>
    <row r="13" spans="1:11" x14ac:dyDescent="0.3">
      <c r="E13">
        <f t="shared" si="2"/>
        <v>300</v>
      </c>
      <c r="F13" t="e">
        <f t="shared" si="1"/>
        <v>#DIV/0!</v>
      </c>
      <c r="G13" t="e">
        <f t="shared" si="0"/>
        <v>#DIV/0!</v>
      </c>
    </row>
    <row r="14" spans="1:11" x14ac:dyDescent="0.3">
      <c r="E14">
        <f t="shared" si="2"/>
        <v>330</v>
      </c>
      <c r="F14" t="e">
        <f t="shared" si="1"/>
        <v>#DIV/0!</v>
      </c>
      <c r="G14" t="e">
        <f t="shared" si="0"/>
        <v>#DIV/0!</v>
      </c>
      <c r="I14">
        <f>I12-1*(-1)</f>
        <v>1.0714285714285714</v>
      </c>
    </row>
    <row r="15" spans="1:11" x14ac:dyDescent="0.3">
      <c r="E15">
        <f t="shared" si="2"/>
        <v>360</v>
      </c>
      <c r="F15" t="e">
        <f t="shared" si="1"/>
        <v>#DIV/0!</v>
      </c>
      <c r="G15" t="e">
        <f t="shared" si="0"/>
        <v>#DIV/0!</v>
      </c>
      <c r="I15">
        <f>I14/((1/3200)^2)</f>
        <v>10971428.571428571</v>
      </c>
    </row>
    <row r="16" spans="1:11" x14ac:dyDescent="0.3">
      <c r="E16">
        <f t="shared" si="2"/>
        <v>390</v>
      </c>
      <c r="F16" t="e">
        <f t="shared" si="1"/>
        <v>#DIV/0!</v>
      </c>
      <c r="G16" t="e">
        <f t="shared" si="0"/>
        <v>#DIV/0!</v>
      </c>
      <c r="I16">
        <v>212</v>
      </c>
    </row>
    <row r="17" spans="5:7" x14ac:dyDescent="0.3">
      <c r="E17">
        <f t="shared" si="2"/>
        <v>420</v>
      </c>
      <c r="F17" t="e">
        <f t="shared" si="1"/>
        <v>#DIV/0!</v>
      </c>
      <c r="G17" t="e">
        <f t="shared" si="0"/>
        <v>#DIV/0!</v>
      </c>
    </row>
    <row r="18" spans="5:7" x14ac:dyDescent="0.3">
      <c r="E18">
        <f t="shared" si="2"/>
        <v>450</v>
      </c>
      <c r="F18" t="e">
        <f t="shared" si="1"/>
        <v>#DIV/0!</v>
      </c>
      <c r="G18" t="e">
        <f t="shared" si="0"/>
        <v>#DIV/0!</v>
      </c>
    </row>
    <row r="19" spans="5:7" x14ac:dyDescent="0.3">
      <c r="E19">
        <f t="shared" si="2"/>
        <v>480</v>
      </c>
      <c r="F19" t="e">
        <f t="shared" si="1"/>
        <v>#DIV/0!</v>
      </c>
      <c r="G19" t="e">
        <f t="shared" si="0"/>
        <v>#DIV/0!</v>
      </c>
    </row>
    <row r="20" spans="5:7" x14ac:dyDescent="0.3">
      <c r="E20">
        <f t="shared" si="2"/>
        <v>510</v>
      </c>
      <c r="F20" t="e">
        <f t="shared" si="1"/>
        <v>#DIV/0!</v>
      </c>
      <c r="G20" t="e">
        <f t="shared" si="0"/>
        <v>#DIV/0!</v>
      </c>
    </row>
    <row r="21" spans="5:7" x14ac:dyDescent="0.3">
      <c r="E21">
        <f t="shared" si="2"/>
        <v>540</v>
      </c>
      <c r="F21" t="e">
        <f t="shared" si="1"/>
        <v>#DIV/0!</v>
      </c>
      <c r="G21" t="e">
        <f t="shared" si="0"/>
        <v>#DIV/0!</v>
      </c>
    </row>
    <row r="22" spans="5:7" x14ac:dyDescent="0.3">
      <c r="E22">
        <f t="shared" si="2"/>
        <v>570</v>
      </c>
      <c r="F22" t="e">
        <f t="shared" si="1"/>
        <v>#DIV/0!</v>
      </c>
      <c r="G22" t="e">
        <f t="shared" si="0"/>
        <v>#DIV/0!</v>
      </c>
    </row>
    <row r="23" spans="5:7" x14ac:dyDescent="0.3">
      <c r="E23">
        <f t="shared" si="2"/>
        <v>600</v>
      </c>
      <c r="F23" t="e">
        <f t="shared" si="1"/>
        <v>#DIV/0!</v>
      </c>
      <c r="G23" t="e">
        <f t="shared" si="0"/>
        <v>#DIV/0!</v>
      </c>
    </row>
    <row r="24" spans="5:7" x14ac:dyDescent="0.3">
      <c r="E24">
        <f t="shared" si="2"/>
        <v>630</v>
      </c>
      <c r="F24" t="e">
        <f t="shared" si="1"/>
        <v>#DIV/0!</v>
      </c>
      <c r="G24" t="e">
        <f t="shared" si="0"/>
        <v>#DIV/0!</v>
      </c>
    </row>
    <row r="25" spans="5:7" x14ac:dyDescent="0.3">
      <c r="E25">
        <f t="shared" si="2"/>
        <v>660</v>
      </c>
      <c r="F25" t="e">
        <f t="shared" si="1"/>
        <v>#DIV/0!</v>
      </c>
      <c r="G25" t="e">
        <f t="shared" si="0"/>
        <v>#DIV/0!</v>
      </c>
    </row>
    <row r="26" spans="5:7" x14ac:dyDescent="0.3">
      <c r="E26">
        <f t="shared" si="2"/>
        <v>690</v>
      </c>
      <c r="F26" t="e">
        <f t="shared" si="1"/>
        <v>#DIV/0!</v>
      </c>
      <c r="G26" t="e">
        <f t="shared" si="0"/>
        <v>#DIV/0!</v>
      </c>
    </row>
    <row r="27" spans="5:7" x14ac:dyDescent="0.3">
      <c r="E27">
        <f t="shared" si="2"/>
        <v>720</v>
      </c>
      <c r="F27" t="e">
        <f t="shared" si="1"/>
        <v>#DIV/0!</v>
      </c>
      <c r="G27" t="e">
        <f t="shared" si="0"/>
        <v>#DIV/0!</v>
      </c>
    </row>
    <row r="28" spans="5:7" x14ac:dyDescent="0.3">
      <c r="E28">
        <f t="shared" si="2"/>
        <v>750</v>
      </c>
      <c r="F28" t="e">
        <f t="shared" si="1"/>
        <v>#DIV/0!</v>
      </c>
      <c r="G28" t="e">
        <f t="shared" si="0"/>
        <v>#DIV/0!</v>
      </c>
    </row>
    <row r="29" spans="5:7" x14ac:dyDescent="0.3">
      <c r="E29">
        <f t="shared" si="2"/>
        <v>780</v>
      </c>
      <c r="F29" t="e">
        <f t="shared" si="1"/>
        <v>#DIV/0!</v>
      </c>
      <c r="G29" t="e">
        <f t="shared" si="0"/>
        <v>#DIV/0!</v>
      </c>
    </row>
    <row r="30" spans="5:7" x14ac:dyDescent="0.3">
      <c r="E30">
        <f t="shared" si="2"/>
        <v>810</v>
      </c>
      <c r="F30" t="e">
        <f t="shared" si="1"/>
        <v>#DIV/0!</v>
      </c>
      <c r="G30" t="e">
        <f t="shared" si="0"/>
        <v>#DIV/0!</v>
      </c>
    </row>
    <row r="31" spans="5:7" x14ac:dyDescent="0.3">
      <c r="E31">
        <f t="shared" si="2"/>
        <v>840</v>
      </c>
      <c r="F31" t="e">
        <f t="shared" si="1"/>
        <v>#DIV/0!</v>
      </c>
      <c r="G31" t="e">
        <f t="shared" si="0"/>
        <v>#DIV/0!</v>
      </c>
    </row>
    <row r="32" spans="5:7" x14ac:dyDescent="0.3">
      <c r="E32">
        <f t="shared" si="2"/>
        <v>870</v>
      </c>
      <c r="F32" t="e">
        <f t="shared" si="1"/>
        <v>#DIV/0!</v>
      </c>
      <c r="G32" t="e">
        <f t="shared" si="0"/>
        <v>#DIV/0!</v>
      </c>
    </row>
    <row r="33" spans="5:7" x14ac:dyDescent="0.3">
      <c r="E33">
        <f t="shared" si="2"/>
        <v>900</v>
      </c>
      <c r="F33" t="e">
        <f t="shared" si="1"/>
        <v>#DIV/0!</v>
      </c>
      <c r="G33" t="e">
        <f t="shared" si="0"/>
        <v>#DIV/0!</v>
      </c>
    </row>
    <row r="34" spans="5:7" x14ac:dyDescent="0.3">
      <c r="E34">
        <f t="shared" si="2"/>
        <v>930</v>
      </c>
      <c r="F34" t="e">
        <f t="shared" si="1"/>
        <v>#DIV/0!</v>
      </c>
      <c r="G34" t="e">
        <f t="shared" si="0"/>
        <v>#DIV/0!</v>
      </c>
    </row>
    <row r="35" spans="5:7" x14ac:dyDescent="0.3">
      <c r="E35">
        <f t="shared" si="2"/>
        <v>960</v>
      </c>
      <c r="F35" t="e">
        <f t="shared" si="1"/>
        <v>#DIV/0!</v>
      </c>
      <c r="G35" t="e">
        <f t="shared" ref="G35:G66" si="3">CONCATENATE("SPLINE ",$E35,",",$F35)</f>
        <v>#DIV/0!</v>
      </c>
    </row>
    <row r="36" spans="5:7" x14ac:dyDescent="0.3">
      <c r="E36">
        <f t="shared" si="2"/>
        <v>990</v>
      </c>
      <c r="F36" t="e">
        <f t="shared" si="1"/>
        <v>#DIV/0!</v>
      </c>
      <c r="G36" t="e">
        <f t="shared" si="3"/>
        <v>#DIV/0!</v>
      </c>
    </row>
    <row r="37" spans="5:7" x14ac:dyDescent="0.3">
      <c r="E37">
        <f t="shared" si="2"/>
        <v>1020</v>
      </c>
      <c r="F37" t="e">
        <f t="shared" si="1"/>
        <v>#DIV/0!</v>
      </c>
      <c r="G37" t="e">
        <f t="shared" si="3"/>
        <v>#DIV/0!</v>
      </c>
    </row>
    <row r="38" spans="5:7" x14ac:dyDescent="0.3">
      <c r="E38">
        <f t="shared" si="2"/>
        <v>1050</v>
      </c>
      <c r="F38" t="e">
        <f t="shared" si="1"/>
        <v>#DIV/0!</v>
      </c>
      <c r="G38" t="e">
        <f t="shared" si="3"/>
        <v>#DIV/0!</v>
      </c>
    </row>
    <row r="39" spans="5:7" x14ac:dyDescent="0.3">
      <c r="E39">
        <f t="shared" si="2"/>
        <v>1080</v>
      </c>
      <c r="F39" t="e">
        <f t="shared" si="1"/>
        <v>#DIV/0!</v>
      </c>
      <c r="G39" t="e">
        <f t="shared" si="3"/>
        <v>#DIV/0!</v>
      </c>
    </row>
    <row r="40" spans="5:7" x14ac:dyDescent="0.3">
      <c r="E40">
        <f t="shared" si="2"/>
        <v>1110</v>
      </c>
      <c r="F40" t="e">
        <f t="shared" si="1"/>
        <v>#DIV/0!</v>
      </c>
      <c r="G40" t="e">
        <f t="shared" si="3"/>
        <v>#DIV/0!</v>
      </c>
    </row>
    <row r="41" spans="5:7" x14ac:dyDescent="0.3">
      <c r="E41">
        <f t="shared" si="2"/>
        <v>1140</v>
      </c>
      <c r="F41" t="e">
        <f t="shared" si="1"/>
        <v>#DIV/0!</v>
      </c>
      <c r="G41" t="e">
        <f t="shared" si="3"/>
        <v>#DIV/0!</v>
      </c>
    </row>
    <row r="42" spans="5:7" x14ac:dyDescent="0.3">
      <c r="E42">
        <f t="shared" si="2"/>
        <v>1170</v>
      </c>
      <c r="F42" t="e">
        <f t="shared" si="1"/>
        <v>#DIV/0!</v>
      </c>
      <c r="G42" t="e">
        <f t="shared" si="3"/>
        <v>#DIV/0!</v>
      </c>
    </row>
    <row r="43" spans="5:7" x14ac:dyDescent="0.3">
      <c r="E43">
        <f t="shared" si="2"/>
        <v>1200</v>
      </c>
      <c r="F43" t="e">
        <f t="shared" si="1"/>
        <v>#DIV/0!</v>
      </c>
      <c r="G43" t="e">
        <f t="shared" si="3"/>
        <v>#DIV/0!</v>
      </c>
    </row>
    <row r="44" spans="5:7" x14ac:dyDescent="0.3">
      <c r="E44">
        <f t="shared" si="2"/>
        <v>1230</v>
      </c>
      <c r="F44" t="e">
        <f t="shared" si="1"/>
        <v>#DIV/0!</v>
      </c>
      <c r="G44" t="e">
        <f t="shared" si="3"/>
        <v>#DIV/0!</v>
      </c>
    </row>
    <row r="45" spans="5:7" x14ac:dyDescent="0.3">
      <c r="E45">
        <f t="shared" si="2"/>
        <v>1260</v>
      </c>
      <c r="F45" t="e">
        <f t="shared" si="1"/>
        <v>#DIV/0!</v>
      </c>
      <c r="G45" t="e">
        <f t="shared" si="3"/>
        <v>#DIV/0!</v>
      </c>
    </row>
    <row r="46" spans="5:7" x14ac:dyDescent="0.3">
      <c r="E46">
        <f t="shared" si="2"/>
        <v>1290</v>
      </c>
      <c r="F46" t="e">
        <f t="shared" si="1"/>
        <v>#DIV/0!</v>
      </c>
      <c r="G46" t="e">
        <f t="shared" si="3"/>
        <v>#DIV/0!</v>
      </c>
    </row>
    <row r="47" spans="5:7" x14ac:dyDescent="0.3">
      <c r="E47">
        <f t="shared" si="2"/>
        <v>1320</v>
      </c>
      <c r="F47" t="e">
        <f t="shared" si="1"/>
        <v>#DIV/0!</v>
      </c>
      <c r="G47" t="e">
        <f t="shared" si="3"/>
        <v>#DIV/0!</v>
      </c>
    </row>
    <row r="48" spans="5:7" x14ac:dyDescent="0.3">
      <c r="E48">
        <f t="shared" si="2"/>
        <v>1350</v>
      </c>
      <c r="F48" t="e">
        <f t="shared" si="1"/>
        <v>#DIV/0!</v>
      </c>
      <c r="G48" t="e">
        <f t="shared" si="3"/>
        <v>#DIV/0!</v>
      </c>
    </row>
    <row r="49" spans="5:7" x14ac:dyDescent="0.3">
      <c r="E49">
        <f t="shared" si="2"/>
        <v>1380</v>
      </c>
      <c r="F49" t="e">
        <f t="shared" si="1"/>
        <v>#DIV/0!</v>
      </c>
      <c r="G49" t="e">
        <f t="shared" si="3"/>
        <v>#DIV/0!</v>
      </c>
    </row>
    <row r="50" spans="5:7" x14ac:dyDescent="0.3">
      <c r="E50">
        <f t="shared" si="2"/>
        <v>1410</v>
      </c>
      <c r="F50" t="e">
        <f t="shared" si="1"/>
        <v>#DIV/0!</v>
      </c>
      <c r="G50" t="e">
        <f t="shared" si="3"/>
        <v>#DIV/0!</v>
      </c>
    </row>
    <row r="51" spans="5:7" x14ac:dyDescent="0.3">
      <c r="E51">
        <f t="shared" si="2"/>
        <v>1440</v>
      </c>
      <c r="F51" t="e">
        <f t="shared" si="1"/>
        <v>#DIV/0!</v>
      </c>
      <c r="G51" t="e">
        <f t="shared" si="3"/>
        <v>#DIV/0!</v>
      </c>
    </row>
    <row r="52" spans="5:7" x14ac:dyDescent="0.3">
      <c r="E52">
        <f t="shared" si="2"/>
        <v>1470</v>
      </c>
      <c r="F52" t="e">
        <f t="shared" si="1"/>
        <v>#DIV/0!</v>
      </c>
      <c r="G52" t="e">
        <f t="shared" si="3"/>
        <v>#DIV/0!</v>
      </c>
    </row>
    <row r="53" spans="5:7" x14ac:dyDescent="0.3">
      <c r="E53">
        <f t="shared" si="2"/>
        <v>1500</v>
      </c>
      <c r="F53" t="e">
        <f t="shared" si="1"/>
        <v>#DIV/0!</v>
      </c>
      <c r="G53" t="e">
        <f t="shared" si="3"/>
        <v>#DIV/0!</v>
      </c>
    </row>
    <row r="54" spans="5:7" x14ac:dyDescent="0.3">
      <c r="E54">
        <f t="shared" si="2"/>
        <v>1530</v>
      </c>
      <c r="F54" t="e">
        <f t="shared" si="1"/>
        <v>#DIV/0!</v>
      </c>
      <c r="G54" t="e">
        <f t="shared" si="3"/>
        <v>#DIV/0!</v>
      </c>
    </row>
    <row r="55" spans="5:7" x14ac:dyDescent="0.3">
      <c r="E55">
        <f t="shared" si="2"/>
        <v>1560</v>
      </c>
      <c r="F55" t="e">
        <f t="shared" si="1"/>
        <v>#DIV/0!</v>
      </c>
      <c r="G55" t="e">
        <f t="shared" si="3"/>
        <v>#DIV/0!</v>
      </c>
    </row>
    <row r="56" spans="5:7" x14ac:dyDescent="0.3">
      <c r="E56">
        <f t="shared" si="2"/>
        <v>1590</v>
      </c>
      <c r="F56" t="e">
        <f t="shared" si="1"/>
        <v>#DIV/0!</v>
      </c>
      <c r="G56" t="e">
        <f t="shared" si="3"/>
        <v>#DIV/0!</v>
      </c>
    </row>
    <row r="57" spans="5:7" x14ac:dyDescent="0.3">
      <c r="E57">
        <f t="shared" si="2"/>
        <v>1620</v>
      </c>
      <c r="F57" t="e">
        <f t="shared" si="1"/>
        <v>#DIV/0!</v>
      </c>
      <c r="G57" t="e">
        <f t="shared" si="3"/>
        <v>#DIV/0!</v>
      </c>
    </row>
    <row r="58" spans="5:7" x14ac:dyDescent="0.3">
      <c r="E58">
        <f t="shared" si="2"/>
        <v>1650</v>
      </c>
      <c r="F58" t="e">
        <f t="shared" si="1"/>
        <v>#DIV/0!</v>
      </c>
      <c r="G58" t="e">
        <f t="shared" si="3"/>
        <v>#DIV/0!</v>
      </c>
    </row>
    <row r="59" spans="5:7" x14ac:dyDescent="0.3">
      <c r="E59">
        <f t="shared" si="2"/>
        <v>1680</v>
      </c>
      <c r="F59" t="e">
        <f t="shared" si="1"/>
        <v>#DIV/0!</v>
      </c>
      <c r="G59" t="e">
        <f t="shared" si="3"/>
        <v>#DIV/0!</v>
      </c>
    </row>
    <row r="60" spans="5:7" x14ac:dyDescent="0.3">
      <c r="E60">
        <f t="shared" si="2"/>
        <v>1710</v>
      </c>
      <c r="F60" t="e">
        <f t="shared" si="1"/>
        <v>#DIV/0!</v>
      </c>
      <c r="G60" t="e">
        <f t="shared" si="3"/>
        <v>#DIV/0!</v>
      </c>
    </row>
    <row r="61" spans="5:7" x14ac:dyDescent="0.3">
      <c r="E61">
        <f t="shared" si="2"/>
        <v>1740</v>
      </c>
      <c r="F61" t="e">
        <f t="shared" si="1"/>
        <v>#DIV/0!</v>
      </c>
      <c r="G61" t="e">
        <f t="shared" si="3"/>
        <v>#DIV/0!</v>
      </c>
    </row>
    <row r="62" spans="5:7" x14ac:dyDescent="0.3">
      <c r="E62">
        <f t="shared" si="2"/>
        <v>1770</v>
      </c>
      <c r="F62" t="e">
        <f t="shared" si="1"/>
        <v>#DIV/0!</v>
      </c>
      <c r="G62" t="e">
        <f t="shared" si="3"/>
        <v>#DIV/0!</v>
      </c>
    </row>
    <row r="63" spans="5:7" x14ac:dyDescent="0.3">
      <c r="E63">
        <f t="shared" si="2"/>
        <v>1800</v>
      </c>
      <c r="F63" t="e">
        <f t="shared" si="1"/>
        <v>#DIV/0!</v>
      </c>
      <c r="G63" t="e">
        <f t="shared" si="3"/>
        <v>#DIV/0!</v>
      </c>
    </row>
    <row r="64" spans="5:7" x14ac:dyDescent="0.3">
      <c r="E64">
        <f t="shared" si="2"/>
        <v>1830</v>
      </c>
      <c r="F64" t="e">
        <f t="shared" si="1"/>
        <v>#DIV/0!</v>
      </c>
      <c r="G64" t="e">
        <f t="shared" si="3"/>
        <v>#DIV/0!</v>
      </c>
    </row>
    <row r="65" spans="5:7" x14ac:dyDescent="0.3">
      <c r="E65">
        <f t="shared" si="2"/>
        <v>1860</v>
      </c>
      <c r="F65" t="e">
        <f t="shared" si="1"/>
        <v>#DIV/0!</v>
      </c>
      <c r="G65" t="e">
        <f t="shared" si="3"/>
        <v>#DIV/0!</v>
      </c>
    </row>
    <row r="66" spans="5:7" x14ac:dyDescent="0.3">
      <c r="E66">
        <f t="shared" si="2"/>
        <v>1890</v>
      </c>
      <c r="F66" t="e">
        <f t="shared" si="1"/>
        <v>#DIV/0!</v>
      </c>
      <c r="G66" t="e">
        <f t="shared" si="3"/>
        <v>#DIV/0!</v>
      </c>
    </row>
    <row r="67" spans="5:7" x14ac:dyDescent="0.3">
      <c r="E67">
        <f t="shared" si="2"/>
        <v>1920</v>
      </c>
      <c r="F67" t="e">
        <f t="shared" si="1"/>
        <v>#DIV/0!</v>
      </c>
      <c r="G67" t="e">
        <f t="shared" ref="G67:G98" si="4">CONCATENATE("SPLINE ",$E67,",",$F67)</f>
        <v>#DIV/0!</v>
      </c>
    </row>
    <row r="68" spans="5:7" x14ac:dyDescent="0.3">
      <c r="E68">
        <f t="shared" si="2"/>
        <v>1950</v>
      </c>
      <c r="F68" t="e">
        <f t="shared" ref="F68:F131" si="5">(($B$3-$C$3)*(1-(((1/$A$3)^2)*(($E68^3)/$D$3)))+$C$3)</f>
        <v>#DIV/0!</v>
      </c>
      <c r="G68" t="e">
        <f t="shared" si="4"/>
        <v>#DIV/0!</v>
      </c>
    </row>
    <row r="69" spans="5:7" x14ac:dyDescent="0.3">
      <c r="E69">
        <f t="shared" ref="E69:E132" si="6">E68+($D$3/200)</f>
        <v>1980</v>
      </c>
      <c r="F69" t="e">
        <f t="shared" si="5"/>
        <v>#DIV/0!</v>
      </c>
      <c r="G69" t="e">
        <f t="shared" si="4"/>
        <v>#DIV/0!</v>
      </c>
    </row>
    <row r="70" spans="5:7" x14ac:dyDescent="0.3">
      <c r="E70">
        <f t="shared" si="6"/>
        <v>2010</v>
      </c>
      <c r="F70" t="e">
        <f t="shared" si="5"/>
        <v>#DIV/0!</v>
      </c>
      <c r="G70" t="e">
        <f t="shared" si="4"/>
        <v>#DIV/0!</v>
      </c>
    </row>
    <row r="71" spans="5:7" x14ac:dyDescent="0.3">
      <c r="E71">
        <f t="shared" si="6"/>
        <v>2040</v>
      </c>
      <c r="F71" t="e">
        <f t="shared" si="5"/>
        <v>#DIV/0!</v>
      </c>
      <c r="G71" t="e">
        <f t="shared" si="4"/>
        <v>#DIV/0!</v>
      </c>
    </row>
    <row r="72" spans="5:7" x14ac:dyDescent="0.3">
      <c r="E72">
        <f t="shared" si="6"/>
        <v>2070</v>
      </c>
      <c r="F72" t="e">
        <f t="shared" si="5"/>
        <v>#DIV/0!</v>
      </c>
      <c r="G72" t="e">
        <f t="shared" si="4"/>
        <v>#DIV/0!</v>
      </c>
    </row>
    <row r="73" spans="5:7" x14ac:dyDescent="0.3">
      <c r="E73">
        <f t="shared" si="6"/>
        <v>2100</v>
      </c>
      <c r="F73" t="e">
        <f t="shared" si="5"/>
        <v>#DIV/0!</v>
      </c>
      <c r="G73" t="e">
        <f t="shared" si="4"/>
        <v>#DIV/0!</v>
      </c>
    </row>
    <row r="74" spans="5:7" x14ac:dyDescent="0.3">
      <c r="E74">
        <f t="shared" si="6"/>
        <v>2130</v>
      </c>
      <c r="F74" t="e">
        <f t="shared" si="5"/>
        <v>#DIV/0!</v>
      </c>
      <c r="G74" t="e">
        <f t="shared" si="4"/>
        <v>#DIV/0!</v>
      </c>
    </row>
    <row r="75" spans="5:7" x14ac:dyDescent="0.3">
      <c r="E75">
        <f t="shared" si="6"/>
        <v>2160</v>
      </c>
      <c r="F75" t="e">
        <f t="shared" si="5"/>
        <v>#DIV/0!</v>
      </c>
      <c r="G75" t="e">
        <f t="shared" si="4"/>
        <v>#DIV/0!</v>
      </c>
    </row>
    <row r="76" spans="5:7" x14ac:dyDescent="0.3">
      <c r="E76">
        <f t="shared" si="6"/>
        <v>2190</v>
      </c>
      <c r="F76" t="e">
        <f t="shared" si="5"/>
        <v>#DIV/0!</v>
      </c>
      <c r="G76" t="e">
        <f t="shared" si="4"/>
        <v>#DIV/0!</v>
      </c>
    </row>
    <row r="77" spans="5:7" x14ac:dyDescent="0.3">
      <c r="E77">
        <f t="shared" si="6"/>
        <v>2220</v>
      </c>
      <c r="F77" t="e">
        <f t="shared" si="5"/>
        <v>#DIV/0!</v>
      </c>
      <c r="G77" t="e">
        <f t="shared" si="4"/>
        <v>#DIV/0!</v>
      </c>
    </row>
    <row r="78" spans="5:7" x14ac:dyDescent="0.3">
      <c r="E78">
        <f t="shared" si="6"/>
        <v>2250</v>
      </c>
      <c r="F78" t="e">
        <f t="shared" si="5"/>
        <v>#DIV/0!</v>
      </c>
      <c r="G78" t="e">
        <f t="shared" si="4"/>
        <v>#DIV/0!</v>
      </c>
    </row>
    <row r="79" spans="5:7" x14ac:dyDescent="0.3">
      <c r="E79">
        <f t="shared" si="6"/>
        <v>2280</v>
      </c>
      <c r="F79" t="e">
        <f t="shared" si="5"/>
        <v>#DIV/0!</v>
      </c>
      <c r="G79" t="e">
        <f t="shared" si="4"/>
        <v>#DIV/0!</v>
      </c>
    </row>
    <row r="80" spans="5:7" x14ac:dyDescent="0.3">
      <c r="E80">
        <f t="shared" si="6"/>
        <v>2310</v>
      </c>
      <c r="F80" t="e">
        <f t="shared" si="5"/>
        <v>#DIV/0!</v>
      </c>
      <c r="G80" t="e">
        <f t="shared" si="4"/>
        <v>#DIV/0!</v>
      </c>
    </row>
    <row r="81" spans="5:7" x14ac:dyDescent="0.3">
      <c r="E81">
        <f t="shared" si="6"/>
        <v>2340</v>
      </c>
      <c r="F81" t="e">
        <f t="shared" si="5"/>
        <v>#DIV/0!</v>
      </c>
      <c r="G81" t="e">
        <f t="shared" si="4"/>
        <v>#DIV/0!</v>
      </c>
    </row>
    <row r="82" spans="5:7" x14ac:dyDescent="0.3">
      <c r="E82">
        <f t="shared" si="6"/>
        <v>2370</v>
      </c>
      <c r="F82" t="e">
        <f t="shared" si="5"/>
        <v>#DIV/0!</v>
      </c>
      <c r="G82" t="e">
        <f t="shared" si="4"/>
        <v>#DIV/0!</v>
      </c>
    </row>
    <row r="83" spans="5:7" x14ac:dyDescent="0.3">
      <c r="E83">
        <f t="shared" si="6"/>
        <v>2400</v>
      </c>
      <c r="F83" t="e">
        <f t="shared" si="5"/>
        <v>#DIV/0!</v>
      </c>
      <c r="G83" t="e">
        <f t="shared" si="4"/>
        <v>#DIV/0!</v>
      </c>
    </row>
    <row r="84" spans="5:7" x14ac:dyDescent="0.3">
      <c r="E84">
        <f t="shared" si="6"/>
        <v>2430</v>
      </c>
      <c r="F84" t="e">
        <f t="shared" si="5"/>
        <v>#DIV/0!</v>
      </c>
      <c r="G84" t="e">
        <f t="shared" si="4"/>
        <v>#DIV/0!</v>
      </c>
    </row>
    <row r="85" spans="5:7" x14ac:dyDescent="0.3">
      <c r="E85">
        <f t="shared" si="6"/>
        <v>2460</v>
      </c>
      <c r="F85" t="e">
        <f t="shared" si="5"/>
        <v>#DIV/0!</v>
      </c>
      <c r="G85" t="e">
        <f t="shared" si="4"/>
        <v>#DIV/0!</v>
      </c>
    </row>
    <row r="86" spans="5:7" x14ac:dyDescent="0.3">
      <c r="E86">
        <f t="shared" si="6"/>
        <v>2490</v>
      </c>
      <c r="F86" t="e">
        <f t="shared" si="5"/>
        <v>#DIV/0!</v>
      </c>
      <c r="G86" t="e">
        <f t="shared" si="4"/>
        <v>#DIV/0!</v>
      </c>
    </row>
    <row r="87" spans="5:7" x14ac:dyDescent="0.3">
      <c r="E87">
        <f t="shared" si="6"/>
        <v>2520</v>
      </c>
      <c r="F87" t="e">
        <f t="shared" si="5"/>
        <v>#DIV/0!</v>
      </c>
      <c r="G87" t="e">
        <f t="shared" si="4"/>
        <v>#DIV/0!</v>
      </c>
    </row>
    <row r="88" spans="5:7" x14ac:dyDescent="0.3">
      <c r="E88">
        <f t="shared" si="6"/>
        <v>2550</v>
      </c>
      <c r="F88" t="e">
        <f t="shared" si="5"/>
        <v>#DIV/0!</v>
      </c>
      <c r="G88" t="e">
        <f t="shared" si="4"/>
        <v>#DIV/0!</v>
      </c>
    </row>
    <row r="89" spans="5:7" x14ac:dyDescent="0.3">
      <c r="E89">
        <f t="shared" si="6"/>
        <v>2580</v>
      </c>
      <c r="F89" t="e">
        <f t="shared" si="5"/>
        <v>#DIV/0!</v>
      </c>
      <c r="G89" t="e">
        <f t="shared" si="4"/>
        <v>#DIV/0!</v>
      </c>
    </row>
    <row r="90" spans="5:7" x14ac:dyDescent="0.3">
      <c r="E90">
        <f t="shared" si="6"/>
        <v>2610</v>
      </c>
      <c r="F90" t="e">
        <f t="shared" si="5"/>
        <v>#DIV/0!</v>
      </c>
      <c r="G90" t="e">
        <f t="shared" si="4"/>
        <v>#DIV/0!</v>
      </c>
    </row>
    <row r="91" spans="5:7" x14ac:dyDescent="0.3">
      <c r="E91">
        <f t="shared" si="6"/>
        <v>2640</v>
      </c>
      <c r="F91" t="e">
        <f t="shared" si="5"/>
        <v>#DIV/0!</v>
      </c>
      <c r="G91" t="e">
        <f t="shared" si="4"/>
        <v>#DIV/0!</v>
      </c>
    </row>
    <row r="92" spans="5:7" x14ac:dyDescent="0.3">
      <c r="E92">
        <f t="shared" si="6"/>
        <v>2670</v>
      </c>
      <c r="F92" t="e">
        <f t="shared" si="5"/>
        <v>#DIV/0!</v>
      </c>
      <c r="G92" t="e">
        <f t="shared" si="4"/>
        <v>#DIV/0!</v>
      </c>
    </row>
    <row r="93" spans="5:7" x14ac:dyDescent="0.3">
      <c r="E93">
        <f t="shared" si="6"/>
        <v>2700</v>
      </c>
      <c r="F93" t="e">
        <f t="shared" si="5"/>
        <v>#DIV/0!</v>
      </c>
      <c r="G93" t="e">
        <f t="shared" si="4"/>
        <v>#DIV/0!</v>
      </c>
    </row>
    <row r="94" spans="5:7" x14ac:dyDescent="0.3">
      <c r="E94">
        <f t="shared" si="6"/>
        <v>2730</v>
      </c>
      <c r="F94" t="e">
        <f t="shared" si="5"/>
        <v>#DIV/0!</v>
      </c>
      <c r="G94" t="e">
        <f t="shared" si="4"/>
        <v>#DIV/0!</v>
      </c>
    </row>
    <row r="95" spans="5:7" x14ac:dyDescent="0.3">
      <c r="E95">
        <f t="shared" si="6"/>
        <v>2760</v>
      </c>
      <c r="F95" t="e">
        <f t="shared" si="5"/>
        <v>#DIV/0!</v>
      </c>
      <c r="G95" t="e">
        <f t="shared" si="4"/>
        <v>#DIV/0!</v>
      </c>
    </row>
    <row r="96" spans="5:7" x14ac:dyDescent="0.3">
      <c r="E96">
        <f t="shared" si="6"/>
        <v>2790</v>
      </c>
      <c r="F96" t="e">
        <f t="shared" si="5"/>
        <v>#DIV/0!</v>
      </c>
      <c r="G96" t="e">
        <f t="shared" si="4"/>
        <v>#DIV/0!</v>
      </c>
    </row>
    <row r="97" spans="5:7" x14ac:dyDescent="0.3">
      <c r="E97">
        <f t="shared" si="6"/>
        <v>2820</v>
      </c>
      <c r="F97" t="e">
        <f t="shared" si="5"/>
        <v>#DIV/0!</v>
      </c>
      <c r="G97" t="e">
        <f t="shared" si="4"/>
        <v>#DIV/0!</v>
      </c>
    </row>
    <row r="98" spans="5:7" x14ac:dyDescent="0.3">
      <c r="E98">
        <f t="shared" si="6"/>
        <v>2850</v>
      </c>
      <c r="F98" t="e">
        <f t="shared" si="5"/>
        <v>#DIV/0!</v>
      </c>
      <c r="G98" t="e">
        <f t="shared" si="4"/>
        <v>#DIV/0!</v>
      </c>
    </row>
    <row r="99" spans="5:7" x14ac:dyDescent="0.3">
      <c r="E99">
        <f t="shared" si="6"/>
        <v>2880</v>
      </c>
      <c r="F99" t="e">
        <f t="shared" si="5"/>
        <v>#DIV/0!</v>
      </c>
      <c r="G99" t="e">
        <f t="shared" ref="G99:G131" si="7">CONCATENATE("SPLINE ",$E99,",",$F99)</f>
        <v>#DIV/0!</v>
      </c>
    </row>
    <row r="100" spans="5:7" x14ac:dyDescent="0.3">
      <c r="E100">
        <f t="shared" si="6"/>
        <v>2910</v>
      </c>
      <c r="F100" t="e">
        <f t="shared" si="5"/>
        <v>#DIV/0!</v>
      </c>
      <c r="G100" t="e">
        <f t="shared" si="7"/>
        <v>#DIV/0!</v>
      </c>
    </row>
    <row r="101" spans="5:7" x14ac:dyDescent="0.3">
      <c r="E101">
        <f t="shared" si="6"/>
        <v>2940</v>
      </c>
      <c r="F101" t="e">
        <f t="shared" si="5"/>
        <v>#DIV/0!</v>
      </c>
      <c r="G101" t="e">
        <f t="shared" si="7"/>
        <v>#DIV/0!</v>
      </c>
    </row>
    <row r="102" spans="5:7" x14ac:dyDescent="0.3">
      <c r="E102">
        <f t="shared" si="6"/>
        <v>2970</v>
      </c>
      <c r="F102" t="e">
        <f t="shared" si="5"/>
        <v>#DIV/0!</v>
      </c>
      <c r="G102" t="e">
        <f t="shared" si="7"/>
        <v>#DIV/0!</v>
      </c>
    </row>
    <row r="103" spans="5:7" x14ac:dyDescent="0.3">
      <c r="E103">
        <f t="shared" si="6"/>
        <v>3000</v>
      </c>
      <c r="F103" t="e">
        <f t="shared" si="5"/>
        <v>#DIV/0!</v>
      </c>
      <c r="G103" t="e">
        <f t="shared" si="7"/>
        <v>#DIV/0!</v>
      </c>
    </row>
    <row r="104" spans="5:7" s="8" customFormat="1" x14ac:dyDescent="0.3">
      <c r="E104" s="8">
        <f t="shared" si="6"/>
        <v>3030</v>
      </c>
      <c r="F104" s="8" t="e">
        <f t="shared" si="5"/>
        <v>#DIV/0!</v>
      </c>
      <c r="G104" s="8" t="e">
        <f t="shared" si="7"/>
        <v>#DIV/0!</v>
      </c>
    </row>
    <row r="105" spans="5:7" x14ac:dyDescent="0.3">
      <c r="E105">
        <f t="shared" si="6"/>
        <v>3060</v>
      </c>
      <c r="F105" t="e">
        <f t="shared" si="5"/>
        <v>#DIV/0!</v>
      </c>
      <c r="G105" t="e">
        <f t="shared" si="7"/>
        <v>#DIV/0!</v>
      </c>
    </row>
    <row r="106" spans="5:7" x14ac:dyDescent="0.3">
      <c r="E106">
        <f t="shared" si="6"/>
        <v>3090</v>
      </c>
      <c r="F106" t="e">
        <f t="shared" si="5"/>
        <v>#DIV/0!</v>
      </c>
      <c r="G106" t="e">
        <f t="shared" si="7"/>
        <v>#DIV/0!</v>
      </c>
    </row>
    <row r="107" spans="5:7" x14ac:dyDescent="0.3">
      <c r="E107">
        <f t="shared" si="6"/>
        <v>3120</v>
      </c>
      <c r="F107" t="e">
        <f t="shared" si="5"/>
        <v>#DIV/0!</v>
      </c>
      <c r="G107" t="e">
        <f t="shared" si="7"/>
        <v>#DIV/0!</v>
      </c>
    </row>
    <row r="108" spans="5:7" x14ac:dyDescent="0.3">
      <c r="E108">
        <f t="shared" si="6"/>
        <v>3150</v>
      </c>
      <c r="F108" t="e">
        <f t="shared" si="5"/>
        <v>#DIV/0!</v>
      </c>
      <c r="G108" t="e">
        <f t="shared" si="7"/>
        <v>#DIV/0!</v>
      </c>
    </row>
    <row r="109" spans="5:7" x14ac:dyDescent="0.3">
      <c r="E109">
        <f t="shared" si="6"/>
        <v>3180</v>
      </c>
      <c r="F109" t="e">
        <f t="shared" si="5"/>
        <v>#DIV/0!</v>
      </c>
      <c r="G109" t="e">
        <f t="shared" si="7"/>
        <v>#DIV/0!</v>
      </c>
    </row>
    <row r="110" spans="5:7" x14ac:dyDescent="0.3">
      <c r="E110">
        <f t="shared" si="6"/>
        <v>3210</v>
      </c>
      <c r="F110" t="e">
        <f t="shared" si="5"/>
        <v>#DIV/0!</v>
      </c>
      <c r="G110" t="e">
        <f t="shared" si="7"/>
        <v>#DIV/0!</v>
      </c>
    </row>
    <row r="111" spans="5:7" x14ac:dyDescent="0.3">
      <c r="E111">
        <f t="shared" si="6"/>
        <v>3240</v>
      </c>
      <c r="F111" t="e">
        <f t="shared" si="5"/>
        <v>#DIV/0!</v>
      </c>
      <c r="G111" t="e">
        <f t="shared" si="7"/>
        <v>#DIV/0!</v>
      </c>
    </row>
    <row r="112" spans="5:7" x14ac:dyDescent="0.3">
      <c r="E112">
        <f t="shared" si="6"/>
        <v>3270</v>
      </c>
      <c r="F112" t="e">
        <f t="shared" si="5"/>
        <v>#DIV/0!</v>
      </c>
      <c r="G112" t="e">
        <f t="shared" si="7"/>
        <v>#DIV/0!</v>
      </c>
    </row>
    <row r="113" spans="5:7" x14ac:dyDescent="0.3">
      <c r="E113">
        <f t="shared" si="6"/>
        <v>3300</v>
      </c>
      <c r="F113" t="e">
        <f t="shared" si="5"/>
        <v>#DIV/0!</v>
      </c>
      <c r="G113" t="e">
        <f t="shared" si="7"/>
        <v>#DIV/0!</v>
      </c>
    </row>
    <row r="114" spans="5:7" x14ac:dyDescent="0.3">
      <c r="E114">
        <f t="shared" si="6"/>
        <v>3330</v>
      </c>
      <c r="F114" t="e">
        <f t="shared" si="5"/>
        <v>#DIV/0!</v>
      </c>
      <c r="G114" t="e">
        <f t="shared" si="7"/>
        <v>#DIV/0!</v>
      </c>
    </row>
    <row r="115" spans="5:7" x14ac:dyDescent="0.3">
      <c r="E115">
        <f t="shared" si="6"/>
        <v>3360</v>
      </c>
      <c r="F115" t="e">
        <f t="shared" si="5"/>
        <v>#DIV/0!</v>
      </c>
      <c r="G115" t="e">
        <f t="shared" si="7"/>
        <v>#DIV/0!</v>
      </c>
    </row>
    <row r="116" spans="5:7" x14ac:dyDescent="0.3">
      <c r="E116">
        <f t="shared" si="6"/>
        <v>3390</v>
      </c>
      <c r="F116" t="e">
        <f t="shared" si="5"/>
        <v>#DIV/0!</v>
      </c>
      <c r="G116" t="e">
        <f t="shared" si="7"/>
        <v>#DIV/0!</v>
      </c>
    </row>
    <row r="117" spans="5:7" x14ac:dyDescent="0.3">
      <c r="E117">
        <f t="shared" si="6"/>
        <v>3420</v>
      </c>
      <c r="F117" t="e">
        <f t="shared" si="5"/>
        <v>#DIV/0!</v>
      </c>
      <c r="G117" t="e">
        <f t="shared" si="7"/>
        <v>#DIV/0!</v>
      </c>
    </row>
    <row r="118" spans="5:7" x14ac:dyDescent="0.3">
      <c r="E118">
        <f t="shared" si="6"/>
        <v>3450</v>
      </c>
      <c r="F118" t="e">
        <f t="shared" si="5"/>
        <v>#DIV/0!</v>
      </c>
      <c r="G118" t="e">
        <f t="shared" si="7"/>
        <v>#DIV/0!</v>
      </c>
    </row>
    <row r="119" spans="5:7" x14ac:dyDescent="0.3">
      <c r="E119">
        <f t="shared" si="6"/>
        <v>3480</v>
      </c>
      <c r="F119" t="e">
        <f t="shared" si="5"/>
        <v>#DIV/0!</v>
      </c>
      <c r="G119" t="e">
        <f t="shared" si="7"/>
        <v>#DIV/0!</v>
      </c>
    </row>
    <row r="120" spans="5:7" x14ac:dyDescent="0.3">
      <c r="E120">
        <f t="shared" si="6"/>
        <v>3510</v>
      </c>
      <c r="F120" t="e">
        <f t="shared" si="5"/>
        <v>#DIV/0!</v>
      </c>
      <c r="G120" t="e">
        <f t="shared" si="7"/>
        <v>#DIV/0!</v>
      </c>
    </row>
    <row r="121" spans="5:7" x14ac:dyDescent="0.3">
      <c r="E121">
        <f t="shared" si="6"/>
        <v>3540</v>
      </c>
      <c r="F121" t="e">
        <f t="shared" si="5"/>
        <v>#DIV/0!</v>
      </c>
      <c r="G121" t="e">
        <f t="shared" si="7"/>
        <v>#DIV/0!</v>
      </c>
    </row>
    <row r="122" spans="5:7" x14ac:dyDescent="0.3">
      <c r="E122">
        <f t="shared" si="6"/>
        <v>3570</v>
      </c>
      <c r="F122" t="e">
        <f t="shared" si="5"/>
        <v>#DIV/0!</v>
      </c>
      <c r="G122" t="e">
        <f t="shared" si="7"/>
        <v>#DIV/0!</v>
      </c>
    </row>
    <row r="123" spans="5:7" x14ac:dyDescent="0.3">
      <c r="E123">
        <f t="shared" si="6"/>
        <v>3600</v>
      </c>
      <c r="F123" t="e">
        <f t="shared" si="5"/>
        <v>#DIV/0!</v>
      </c>
      <c r="G123" t="e">
        <f t="shared" si="7"/>
        <v>#DIV/0!</v>
      </c>
    </row>
    <row r="124" spans="5:7" x14ac:dyDescent="0.3">
      <c r="E124">
        <f t="shared" si="6"/>
        <v>3630</v>
      </c>
      <c r="F124" t="e">
        <f t="shared" si="5"/>
        <v>#DIV/0!</v>
      </c>
      <c r="G124" t="e">
        <f t="shared" si="7"/>
        <v>#DIV/0!</v>
      </c>
    </row>
    <row r="125" spans="5:7" x14ac:dyDescent="0.3">
      <c r="E125">
        <f t="shared" si="6"/>
        <v>3660</v>
      </c>
      <c r="F125" t="e">
        <f t="shared" si="5"/>
        <v>#DIV/0!</v>
      </c>
      <c r="G125" t="e">
        <f t="shared" si="7"/>
        <v>#DIV/0!</v>
      </c>
    </row>
    <row r="126" spans="5:7" x14ac:dyDescent="0.3">
      <c r="E126">
        <f t="shared" si="6"/>
        <v>3690</v>
      </c>
      <c r="F126" t="e">
        <f t="shared" si="5"/>
        <v>#DIV/0!</v>
      </c>
      <c r="G126" t="e">
        <f t="shared" si="7"/>
        <v>#DIV/0!</v>
      </c>
    </row>
    <row r="127" spans="5:7" x14ac:dyDescent="0.3">
      <c r="E127">
        <f t="shared" si="6"/>
        <v>3720</v>
      </c>
      <c r="F127" t="e">
        <f t="shared" si="5"/>
        <v>#DIV/0!</v>
      </c>
      <c r="G127" t="e">
        <f t="shared" si="7"/>
        <v>#DIV/0!</v>
      </c>
    </row>
    <row r="128" spans="5:7" x14ac:dyDescent="0.3">
      <c r="E128">
        <f t="shared" si="6"/>
        <v>3750</v>
      </c>
      <c r="F128" t="e">
        <f t="shared" si="5"/>
        <v>#DIV/0!</v>
      </c>
      <c r="G128" t="e">
        <f t="shared" si="7"/>
        <v>#DIV/0!</v>
      </c>
    </row>
    <row r="129" spans="3:7" x14ac:dyDescent="0.3">
      <c r="E129">
        <f t="shared" si="6"/>
        <v>3780</v>
      </c>
      <c r="F129" t="e">
        <f t="shared" si="5"/>
        <v>#DIV/0!</v>
      </c>
      <c r="G129" t="e">
        <f t="shared" si="7"/>
        <v>#DIV/0!</v>
      </c>
    </row>
    <row r="130" spans="3:7" x14ac:dyDescent="0.3">
      <c r="C130" s="1"/>
      <c r="E130">
        <f t="shared" si="6"/>
        <v>3810</v>
      </c>
      <c r="F130" t="e">
        <f t="shared" si="5"/>
        <v>#DIV/0!</v>
      </c>
      <c r="G130" t="e">
        <f t="shared" si="7"/>
        <v>#DIV/0!</v>
      </c>
    </row>
    <row r="131" spans="3:7" x14ac:dyDescent="0.3">
      <c r="E131">
        <f t="shared" si="6"/>
        <v>3840</v>
      </c>
      <c r="F131" t="e">
        <f t="shared" si="5"/>
        <v>#DIV/0!</v>
      </c>
      <c r="G131" t="e">
        <f t="shared" si="7"/>
        <v>#DIV/0!</v>
      </c>
    </row>
    <row r="132" spans="3:7" x14ac:dyDescent="0.3">
      <c r="E132">
        <f t="shared" si="6"/>
        <v>3870</v>
      </c>
      <c r="F132" t="e">
        <f t="shared" ref="F132:F195" si="8">(($B$3-$C$3)*(1-(((1/$A$3)^2)*(($E132^3)/$D$3)))+$C$3)</f>
        <v>#DIV/0!</v>
      </c>
      <c r="G132" t="e">
        <f t="shared" ref="G132:G195" si="9">CONCATENATE("SPLINE ",$E132,",",$F132)</f>
        <v>#DIV/0!</v>
      </c>
    </row>
    <row r="133" spans="3:7" x14ac:dyDescent="0.3">
      <c r="E133">
        <f t="shared" ref="E133:E196" si="10">E132+($D$3/200)</f>
        <v>3900</v>
      </c>
      <c r="F133" t="e">
        <f t="shared" si="8"/>
        <v>#DIV/0!</v>
      </c>
      <c r="G133" t="e">
        <f t="shared" si="9"/>
        <v>#DIV/0!</v>
      </c>
    </row>
    <row r="134" spans="3:7" x14ac:dyDescent="0.3">
      <c r="E134">
        <f t="shared" si="10"/>
        <v>3930</v>
      </c>
      <c r="F134" t="e">
        <f t="shared" si="8"/>
        <v>#DIV/0!</v>
      </c>
      <c r="G134" t="e">
        <f t="shared" si="9"/>
        <v>#DIV/0!</v>
      </c>
    </row>
    <row r="135" spans="3:7" x14ac:dyDescent="0.3">
      <c r="E135">
        <f t="shared" si="10"/>
        <v>3960</v>
      </c>
      <c r="F135" t="e">
        <f t="shared" si="8"/>
        <v>#DIV/0!</v>
      </c>
      <c r="G135" t="e">
        <f t="shared" si="9"/>
        <v>#DIV/0!</v>
      </c>
    </row>
    <row r="136" spans="3:7" x14ac:dyDescent="0.3">
      <c r="E136">
        <f t="shared" si="10"/>
        <v>3990</v>
      </c>
      <c r="F136" t="e">
        <f t="shared" si="8"/>
        <v>#DIV/0!</v>
      </c>
      <c r="G136" t="e">
        <f t="shared" si="9"/>
        <v>#DIV/0!</v>
      </c>
    </row>
    <row r="137" spans="3:7" x14ac:dyDescent="0.3">
      <c r="E137">
        <f t="shared" si="10"/>
        <v>4020</v>
      </c>
      <c r="F137" t="e">
        <f t="shared" si="8"/>
        <v>#DIV/0!</v>
      </c>
      <c r="G137" t="e">
        <f t="shared" si="9"/>
        <v>#DIV/0!</v>
      </c>
    </row>
    <row r="138" spans="3:7" x14ac:dyDescent="0.3">
      <c r="E138">
        <f t="shared" si="10"/>
        <v>4050</v>
      </c>
      <c r="F138" t="e">
        <f t="shared" si="8"/>
        <v>#DIV/0!</v>
      </c>
      <c r="G138" t="e">
        <f t="shared" si="9"/>
        <v>#DIV/0!</v>
      </c>
    </row>
    <row r="139" spans="3:7" x14ac:dyDescent="0.3">
      <c r="E139">
        <f t="shared" si="10"/>
        <v>4080</v>
      </c>
      <c r="F139" t="e">
        <f t="shared" si="8"/>
        <v>#DIV/0!</v>
      </c>
      <c r="G139" t="e">
        <f t="shared" si="9"/>
        <v>#DIV/0!</v>
      </c>
    </row>
    <row r="140" spans="3:7" x14ac:dyDescent="0.3">
      <c r="E140">
        <f t="shared" si="10"/>
        <v>4110</v>
      </c>
      <c r="F140" t="e">
        <f t="shared" si="8"/>
        <v>#DIV/0!</v>
      </c>
      <c r="G140" t="e">
        <f t="shared" si="9"/>
        <v>#DIV/0!</v>
      </c>
    </row>
    <row r="141" spans="3:7" x14ac:dyDescent="0.3">
      <c r="E141">
        <f t="shared" si="10"/>
        <v>4140</v>
      </c>
      <c r="F141" t="e">
        <f t="shared" si="8"/>
        <v>#DIV/0!</v>
      </c>
      <c r="G141" t="e">
        <f t="shared" si="9"/>
        <v>#DIV/0!</v>
      </c>
    </row>
    <row r="142" spans="3:7" x14ac:dyDescent="0.3">
      <c r="E142">
        <f t="shared" si="10"/>
        <v>4170</v>
      </c>
      <c r="F142" t="e">
        <f t="shared" si="8"/>
        <v>#DIV/0!</v>
      </c>
      <c r="G142" t="e">
        <f t="shared" si="9"/>
        <v>#DIV/0!</v>
      </c>
    </row>
    <row r="143" spans="3:7" x14ac:dyDescent="0.3">
      <c r="E143">
        <f t="shared" si="10"/>
        <v>4200</v>
      </c>
      <c r="F143" t="e">
        <f t="shared" si="8"/>
        <v>#DIV/0!</v>
      </c>
      <c r="G143" t="e">
        <f t="shared" si="9"/>
        <v>#DIV/0!</v>
      </c>
    </row>
    <row r="144" spans="3:7" x14ac:dyDescent="0.3">
      <c r="E144">
        <f t="shared" si="10"/>
        <v>4230</v>
      </c>
      <c r="F144" t="e">
        <f t="shared" si="8"/>
        <v>#DIV/0!</v>
      </c>
      <c r="G144" t="e">
        <f t="shared" si="9"/>
        <v>#DIV/0!</v>
      </c>
    </row>
    <row r="145" spans="5:7" x14ac:dyDescent="0.3">
      <c r="E145">
        <f t="shared" si="10"/>
        <v>4260</v>
      </c>
      <c r="F145" t="e">
        <f t="shared" si="8"/>
        <v>#DIV/0!</v>
      </c>
      <c r="G145" t="e">
        <f t="shared" si="9"/>
        <v>#DIV/0!</v>
      </c>
    </row>
    <row r="146" spans="5:7" x14ac:dyDescent="0.3">
      <c r="E146">
        <f t="shared" si="10"/>
        <v>4290</v>
      </c>
      <c r="F146" t="e">
        <f t="shared" si="8"/>
        <v>#DIV/0!</v>
      </c>
      <c r="G146" t="e">
        <f t="shared" si="9"/>
        <v>#DIV/0!</v>
      </c>
    </row>
    <row r="147" spans="5:7" x14ac:dyDescent="0.3">
      <c r="E147">
        <f t="shared" si="10"/>
        <v>4320</v>
      </c>
      <c r="F147" t="e">
        <f t="shared" si="8"/>
        <v>#DIV/0!</v>
      </c>
      <c r="G147" t="e">
        <f t="shared" si="9"/>
        <v>#DIV/0!</v>
      </c>
    </row>
    <row r="148" spans="5:7" x14ac:dyDescent="0.3">
      <c r="E148">
        <f t="shared" si="10"/>
        <v>4350</v>
      </c>
      <c r="F148" t="e">
        <f t="shared" si="8"/>
        <v>#DIV/0!</v>
      </c>
      <c r="G148" t="e">
        <f t="shared" si="9"/>
        <v>#DIV/0!</v>
      </c>
    </row>
    <row r="149" spans="5:7" x14ac:dyDescent="0.3">
      <c r="E149">
        <f t="shared" si="10"/>
        <v>4380</v>
      </c>
      <c r="F149" t="e">
        <f t="shared" si="8"/>
        <v>#DIV/0!</v>
      </c>
      <c r="G149" t="e">
        <f t="shared" si="9"/>
        <v>#DIV/0!</v>
      </c>
    </row>
    <row r="150" spans="5:7" x14ac:dyDescent="0.3">
      <c r="E150">
        <f t="shared" si="10"/>
        <v>4410</v>
      </c>
      <c r="F150" t="e">
        <f t="shared" si="8"/>
        <v>#DIV/0!</v>
      </c>
      <c r="G150" t="e">
        <f t="shared" si="9"/>
        <v>#DIV/0!</v>
      </c>
    </row>
    <row r="151" spans="5:7" x14ac:dyDescent="0.3">
      <c r="E151">
        <f t="shared" si="10"/>
        <v>4440</v>
      </c>
      <c r="F151" t="e">
        <f t="shared" si="8"/>
        <v>#DIV/0!</v>
      </c>
      <c r="G151" t="e">
        <f t="shared" si="9"/>
        <v>#DIV/0!</v>
      </c>
    </row>
    <row r="152" spans="5:7" x14ac:dyDescent="0.3">
      <c r="E152">
        <f t="shared" si="10"/>
        <v>4470</v>
      </c>
      <c r="F152" t="e">
        <f t="shared" si="8"/>
        <v>#DIV/0!</v>
      </c>
      <c r="G152" t="e">
        <f t="shared" si="9"/>
        <v>#DIV/0!</v>
      </c>
    </row>
    <row r="153" spans="5:7" x14ac:dyDescent="0.3">
      <c r="E153">
        <f t="shared" si="10"/>
        <v>4500</v>
      </c>
      <c r="F153" t="e">
        <f t="shared" si="8"/>
        <v>#DIV/0!</v>
      </c>
      <c r="G153" t="e">
        <f t="shared" si="9"/>
        <v>#DIV/0!</v>
      </c>
    </row>
    <row r="154" spans="5:7" x14ac:dyDescent="0.3">
      <c r="E154">
        <f t="shared" si="10"/>
        <v>4530</v>
      </c>
      <c r="F154" t="e">
        <f t="shared" si="8"/>
        <v>#DIV/0!</v>
      </c>
      <c r="G154" t="e">
        <f t="shared" si="9"/>
        <v>#DIV/0!</v>
      </c>
    </row>
    <row r="155" spans="5:7" x14ac:dyDescent="0.3">
      <c r="E155">
        <f t="shared" si="10"/>
        <v>4560</v>
      </c>
      <c r="F155" t="e">
        <f t="shared" si="8"/>
        <v>#DIV/0!</v>
      </c>
      <c r="G155" t="e">
        <f t="shared" si="9"/>
        <v>#DIV/0!</v>
      </c>
    </row>
    <row r="156" spans="5:7" x14ac:dyDescent="0.3">
      <c r="E156">
        <f t="shared" si="10"/>
        <v>4590</v>
      </c>
      <c r="F156" t="e">
        <f t="shared" si="8"/>
        <v>#DIV/0!</v>
      </c>
      <c r="G156" t="e">
        <f t="shared" si="9"/>
        <v>#DIV/0!</v>
      </c>
    </row>
    <row r="157" spans="5:7" x14ac:dyDescent="0.3">
      <c r="E157">
        <f t="shared" si="10"/>
        <v>4620</v>
      </c>
      <c r="F157" t="e">
        <f t="shared" si="8"/>
        <v>#DIV/0!</v>
      </c>
      <c r="G157" t="e">
        <f t="shared" si="9"/>
        <v>#DIV/0!</v>
      </c>
    </row>
    <row r="158" spans="5:7" x14ac:dyDescent="0.3">
      <c r="E158">
        <f t="shared" si="10"/>
        <v>4650</v>
      </c>
      <c r="F158" t="e">
        <f t="shared" si="8"/>
        <v>#DIV/0!</v>
      </c>
      <c r="G158" t="e">
        <f t="shared" si="9"/>
        <v>#DIV/0!</v>
      </c>
    </row>
    <row r="159" spans="5:7" x14ac:dyDescent="0.3">
      <c r="E159">
        <f t="shared" si="10"/>
        <v>4680</v>
      </c>
      <c r="F159" t="e">
        <f t="shared" si="8"/>
        <v>#DIV/0!</v>
      </c>
      <c r="G159" t="e">
        <f t="shared" si="9"/>
        <v>#DIV/0!</v>
      </c>
    </row>
    <row r="160" spans="5:7" x14ac:dyDescent="0.3">
      <c r="E160">
        <f t="shared" si="10"/>
        <v>4710</v>
      </c>
      <c r="F160" t="e">
        <f t="shared" si="8"/>
        <v>#DIV/0!</v>
      </c>
      <c r="G160" t="e">
        <f t="shared" si="9"/>
        <v>#DIV/0!</v>
      </c>
    </row>
    <row r="161" spans="5:7" x14ac:dyDescent="0.3">
      <c r="E161">
        <f t="shared" si="10"/>
        <v>4740</v>
      </c>
      <c r="F161" t="e">
        <f t="shared" si="8"/>
        <v>#DIV/0!</v>
      </c>
      <c r="G161" t="e">
        <f t="shared" si="9"/>
        <v>#DIV/0!</v>
      </c>
    </row>
    <row r="162" spans="5:7" x14ac:dyDescent="0.3">
      <c r="E162">
        <f t="shared" si="10"/>
        <v>4770</v>
      </c>
      <c r="F162" t="e">
        <f t="shared" si="8"/>
        <v>#DIV/0!</v>
      </c>
      <c r="G162" t="e">
        <f t="shared" si="9"/>
        <v>#DIV/0!</v>
      </c>
    </row>
    <row r="163" spans="5:7" x14ac:dyDescent="0.3">
      <c r="E163">
        <f t="shared" si="10"/>
        <v>4800</v>
      </c>
      <c r="F163" t="e">
        <f t="shared" si="8"/>
        <v>#DIV/0!</v>
      </c>
      <c r="G163" t="e">
        <f t="shared" si="9"/>
        <v>#DIV/0!</v>
      </c>
    </row>
    <row r="164" spans="5:7" x14ac:dyDescent="0.3">
      <c r="E164">
        <f t="shared" si="10"/>
        <v>4830</v>
      </c>
      <c r="F164" t="e">
        <f t="shared" si="8"/>
        <v>#DIV/0!</v>
      </c>
      <c r="G164" t="e">
        <f t="shared" si="9"/>
        <v>#DIV/0!</v>
      </c>
    </row>
    <row r="165" spans="5:7" x14ac:dyDescent="0.3">
      <c r="E165">
        <f t="shared" si="10"/>
        <v>4860</v>
      </c>
      <c r="F165" t="e">
        <f t="shared" si="8"/>
        <v>#DIV/0!</v>
      </c>
      <c r="G165" t="e">
        <f t="shared" si="9"/>
        <v>#DIV/0!</v>
      </c>
    </row>
    <row r="166" spans="5:7" x14ac:dyDescent="0.3">
      <c r="E166">
        <f t="shared" si="10"/>
        <v>4890</v>
      </c>
      <c r="F166" t="e">
        <f t="shared" si="8"/>
        <v>#DIV/0!</v>
      </c>
      <c r="G166" t="e">
        <f t="shared" si="9"/>
        <v>#DIV/0!</v>
      </c>
    </row>
    <row r="167" spans="5:7" x14ac:dyDescent="0.3">
      <c r="E167">
        <f t="shared" si="10"/>
        <v>4920</v>
      </c>
      <c r="F167" t="e">
        <f t="shared" si="8"/>
        <v>#DIV/0!</v>
      </c>
      <c r="G167" t="e">
        <f t="shared" si="9"/>
        <v>#DIV/0!</v>
      </c>
    </row>
    <row r="168" spans="5:7" x14ac:dyDescent="0.3">
      <c r="E168">
        <f t="shared" si="10"/>
        <v>4950</v>
      </c>
      <c r="F168" t="e">
        <f t="shared" si="8"/>
        <v>#DIV/0!</v>
      </c>
      <c r="G168" t="e">
        <f t="shared" si="9"/>
        <v>#DIV/0!</v>
      </c>
    </row>
    <row r="169" spans="5:7" x14ac:dyDescent="0.3">
      <c r="E169">
        <f t="shared" si="10"/>
        <v>4980</v>
      </c>
      <c r="F169" t="e">
        <f t="shared" si="8"/>
        <v>#DIV/0!</v>
      </c>
      <c r="G169" t="e">
        <f t="shared" si="9"/>
        <v>#DIV/0!</v>
      </c>
    </row>
    <row r="170" spans="5:7" x14ac:dyDescent="0.3">
      <c r="E170">
        <f t="shared" si="10"/>
        <v>5010</v>
      </c>
      <c r="F170" t="e">
        <f t="shared" si="8"/>
        <v>#DIV/0!</v>
      </c>
      <c r="G170" t="e">
        <f t="shared" si="9"/>
        <v>#DIV/0!</v>
      </c>
    </row>
    <row r="171" spans="5:7" x14ac:dyDescent="0.3">
      <c r="E171">
        <f t="shared" si="10"/>
        <v>5040</v>
      </c>
      <c r="F171" t="e">
        <f t="shared" si="8"/>
        <v>#DIV/0!</v>
      </c>
      <c r="G171" t="e">
        <f t="shared" si="9"/>
        <v>#DIV/0!</v>
      </c>
    </row>
    <row r="172" spans="5:7" x14ac:dyDescent="0.3">
      <c r="E172">
        <f t="shared" si="10"/>
        <v>5070</v>
      </c>
      <c r="F172" t="e">
        <f t="shared" si="8"/>
        <v>#DIV/0!</v>
      </c>
      <c r="G172" t="e">
        <f t="shared" si="9"/>
        <v>#DIV/0!</v>
      </c>
    </row>
    <row r="173" spans="5:7" x14ac:dyDescent="0.3">
      <c r="E173">
        <f t="shared" si="10"/>
        <v>5100</v>
      </c>
      <c r="F173" t="e">
        <f t="shared" si="8"/>
        <v>#DIV/0!</v>
      </c>
      <c r="G173" t="e">
        <f t="shared" si="9"/>
        <v>#DIV/0!</v>
      </c>
    </row>
    <row r="174" spans="5:7" x14ac:dyDescent="0.3">
      <c r="E174">
        <f t="shared" si="10"/>
        <v>5130</v>
      </c>
      <c r="F174" t="e">
        <f t="shared" si="8"/>
        <v>#DIV/0!</v>
      </c>
      <c r="G174" t="e">
        <f t="shared" si="9"/>
        <v>#DIV/0!</v>
      </c>
    </row>
    <row r="175" spans="5:7" x14ac:dyDescent="0.3">
      <c r="E175">
        <f t="shared" si="10"/>
        <v>5160</v>
      </c>
      <c r="F175" t="e">
        <f t="shared" si="8"/>
        <v>#DIV/0!</v>
      </c>
      <c r="G175" t="e">
        <f t="shared" si="9"/>
        <v>#DIV/0!</v>
      </c>
    </row>
    <row r="176" spans="5:7" x14ac:dyDescent="0.3">
      <c r="E176">
        <f t="shared" si="10"/>
        <v>5190</v>
      </c>
      <c r="F176" t="e">
        <f t="shared" si="8"/>
        <v>#DIV/0!</v>
      </c>
      <c r="G176" t="e">
        <f t="shared" si="9"/>
        <v>#DIV/0!</v>
      </c>
    </row>
    <row r="177" spans="5:7" x14ac:dyDescent="0.3">
      <c r="E177">
        <f t="shared" si="10"/>
        <v>5220</v>
      </c>
      <c r="F177" t="e">
        <f t="shared" si="8"/>
        <v>#DIV/0!</v>
      </c>
      <c r="G177" t="e">
        <f t="shared" si="9"/>
        <v>#DIV/0!</v>
      </c>
    </row>
    <row r="178" spans="5:7" x14ac:dyDescent="0.3">
      <c r="E178">
        <f t="shared" si="10"/>
        <v>5250</v>
      </c>
      <c r="F178" t="e">
        <f t="shared" si="8"/>
        <v>#DIV/0!</v>
      </c>
      <c r="G178" t="e">
        <f t="shared" si="9"/>
        <v>#DIV/0!</v>
      </c>
    </row>
    <row r="179" spans="5:7" x14ac:dyDescent="0.3">
      <c r="E179">
        <f t="shared" si="10"/>
        <v>5280</v>
      </c>
      <c r="F179" t="e">
        <f t="shared" si="8"/>
        <v>#DIV/0!</v>
      </c>
      <c r="G179" t="e">
        <f t="shared" si="9"/>
        <v>#DIV/0!</v>
      </c>
    </row>
    <row r="180" spans="5:7" x14ac:dyDescent="0.3">
      <c r="E180">
        <f t="shared" si="10"/>
        <v>5310</v>
      </c>
      <c r="F180" t="e">
        <f t="shared" si="8"/>
        <v>#DIV/0!</v>
      </c>
      <c r="G180" t="e">
        <f t="shared" si="9"/>
        <v>#DIV/0!</v>
      </c>
    </row>
    <row r="181" spans="5:7" x14ac:dyDescent="0.3">
      <c r="E181">
        <f t="shared" si="10"/>
        <v>5340</v>
      </c>
      <c r="F181" t="e">
        <f t="shared" si="8"/>
        <v>#DIV/0!</v>
      </c>
      <c r="G181" t="e">
        <f t="shared" si="9"/>
        <v>#DIV/0!</v>
      </c>
    </row>
    <row r="182" spans="5:7" x14ac:dyDescent="0.3">
      <c r="E182">
        <f t="shared" si="10"/>
        <v>5370</v>
      </c>
      <c r="F182" t="e">
        <f t="shared" si="8"/>
        <v>#DIV/0!</v>
      </c>
      <c r="G182" t="e">
        <f t="shared" si="9"/>
        <v>#DIV/0!</v>
      </c>
    </row>
    <row r="183" spans="5:7" x14ac:dyDescent="0.3">
      <c r="E183">
        <f t="shared" si="10"/>
        <v>5400</v>
      </c>
      <c r="F183" t="e">
        <f t="shared" si="8"/>
        <v>#DIV/0!</v>
      </c>
      <c r="G183" t="e">
        <f t="shared" si="9"/>
        <v>#DIV/0!</v>
      </c>
    </row>
    <row r="184" spans="5:7" x14ac:dyDescent="0.3">
      <c r="E184">
        <f t="shared" si="10"/>
        <v>5430</v>
      </c>
      <c r="F184" t="e">
        <f t="shared" si="8"/>
        <v>#DIV/0!</v>
      </c>
      <c r="G184" t="e">
        <f t="shared" si="9"/>
        <v>#DIV/0!</v>
      </c>
    </row>
    <row r="185" spans="5:7" x14ac:dyDescent="0.3">
      <c r="E185">
        <f t="shared" si="10"/>
        <v>5460</v>
      </c>
      <c r="F185" t="e">
        <f t="shared" si="8"/>
        <v>#DIV/0!</v>
      </c>
      <c r="G185" t="e">
        <f t="shared" si="9"/>
        <v>#DIV/0!</v>
      </c>
    </row>
    <row r="186" spans="5:7" x14ac:dyDescent="0.3">
      <c r="E186">
        <f t="shared" si="10"/>
        <v>5490</v>
      </c>
      <c r="F186" t="e">
        <f t="shared" si="8"/>
        <v>#DIV/0!</v>
      </c>
      <c r="G186" t="e">
        <f t="shared" si="9"/>
        <v>#DIV/0!</v>
      </c>
    </row>
    <row r="187" spans="5:7" x14ac:dyDescent="0.3">
      <c r="E187">
        <f t="shared" si="10"/>
        <v>5520</v>
      </c>
      <c r="F187" t="e">
        <f t="shared" si="8"/>
        <v>#DIV/0!</v>
      </c>
      <c r="G187" t="e">
        <f t="shared" si="9"/>
        <v>#DIV/0!</v>
      </c>
    </row>
    <row r="188" spans="5:7" x14ac:dyDescent="0.3">
      <c r="E188">
        <f t="shared" si="10"/>
        <v>5550</v>
      </c>
      <c r="F188" t="e">
        <f t="shared" si="8"/>
        <v>#DIV/0!</v>
      </c>
      <c r="G188" t="e">
        <f t="shared" si="9"/>
        <v>#DIV/0!</v>
      </c>
    </row>
    <row r="189" spans="5:7" x14ac:dyDescent="0.3">
      <c r="E189">
        <f t="shared" si="10"/>
        <v>5580</v>
      </c>
      <c r="F189" t="e">
        <f t="shared" si="8"/>
        <v>#DIV/0!</v>
      </c>
      <c r="G189" t="e">
        <f t="shared" si="9"/>
        <v>#DIV/0!</v>
      </c>
    </row>
    <row r="190" spans="5:7" x14ac:dyDescent="0.3">
      <c r="E190">
        <f t="shared" si="10"/>
        <v>5610</v>
      </c>
      <c r="F190" t="e">
        <f t="shared" si="8"/>
        <v>#DIV/0!</v>
      </c>
      <c r="G190" t="e">
        <f t="shared" si="9"/>
        <v>#DIV/0!</v>
      </c>
    </row>
    <row r="191" spans="5:7" x14ac:dyDescent="0.3">
      <c r="E191">
        <f t="shared" si="10"/>
        <v>5640</v>
      </c>
      <c r="F191" t="e">
        <f t="shared" si="8"/>
        <v>#DIV/0!</v>
      </c>
      <c r="G191" t="e">
        <f t="shared" si="9"/>
        <v>#DIV/0!</v>
      </c>
    </row>
    <row r="192" spans="5:7" x14ac:dyDescent="0.3">
      <c r="E192">
        <f t="shared" si="10"/>
        <v>5670</v>
      </c>
      <c r="F192" t="e">
        <f t="shared" si="8"/>
        <v>#DIV/0!</v>
      </c>
      <c r="G192" t="e">
        <f t="shared" si="9"/>
        <v>#DIV/0!</v>
      </c>
    </row>
    <row r="193" spans="5:7" x14ac:dyDescent="0.3">
      <c r="E193">
        <f t="shared" si="10"/>
        <v>5700</v>
      </c>
      <c r="F193" t="e">
        <f t="shared" si="8"/>
        <v>#DIV/0!</v>
      </c>
      <c r="G193" t="e">
        <f t="shared" si="9"/>
        <v>#DIV/0!</v>
      </c>
    </row>
    <row r="194" spans="5:7" x14ac:dyDescent="0.3">
      <c r="E194">
        <f t="shared" si="10"/>
        <v>5730</v>
      </c>
      <c r="F194" t="e">
        <f t="shared" si="8"/>
        <v>#DIV/0!</v>
      </c>
      <c r="G194" t="e">
        <f t="shared" si="9"/>
        <v>#DIV/0!</v>
      </c>
    </row>
    <row r="195" spans="5:7" x14ac:dyDescent="0.3">
      <c r="E195">
        <f t="shared" si="10"/>
        <v>5760</v>
      </c>
      <c r="F195" t="e">
        <f t="shared" si="8"/>
        <v>#DIV/0!</v>
      </c>
      <c r="G195" t="e">
        <f t="shared" si="9"/>
        <v>#DIV/0!</v>
      </c>
    </row>
    <row r="196" spans="5:7" x14ac:dyDescent="0.3">
      <c r="E196">
        <f t="shared" si="10"/>
        <v>5790</v>
      </c>
      <c r="F196" t="e">
        <f t="shared" ref="F196:F203" si="11">(($B$3-$C$3)*(1-(((1/$A$3)^2)*(($E196^3)/$D$3)))+$C$3)</f>
        <v>#DIV/0!</v>
      </c>
      <c r="G196" t="e">
        <f t="shared" ref="G196:G203" si="12">CONCATENATE("SPLINE ",$E196,",",$F196)</f>
        <v>#DIV/0!</v>
      </c>
    </row>
    <row r="197" spans="5:7" x14ac:dyDescent="0.3">
      <c r="E197">
        <f t="shared" ref="E197:E203" si="13">E196+($D$3/200)</f>
        <v>5820</v>
      </c>
      <c r="F197" t="e">
        <f t="shared" si="11"/>
        <v>#DIV/0!</v>
      </c>
      <c r="G197" t="e">
        <f t="shared" si="12"/>
        <v>#DIV/0!</v>
      </c>
    </row>
    <row r="198" spans="5:7" x14ac:dyDescent="0.3">
      <c r="E198">
        <f t="shared" si="13"/>
        <v>5850</v>
      </c>
      <c r="F198" t="e">
        <f t="shared" si="11"/>
        <v>#DIV/0!</v>
      </c>
      <c r="G198" t="e">
        <f t="shared" si="12"/>
        <v>#DIV/0!</v>
      </c>
    </row>
    <row r="199" spans="5:7" x14ac:dyDescent="0.3">
      <c r="E199">
        <f t="shared" si="13"/>
        <v>5880</v>
      </c>
      <c r="F199" t="e">
        <f t="shared" si="11"/>
        <v>#DIV/0!</v>
      </c>
      <c r="G199" t="e">
        <f t="shared" si="12"/>
        <v>#DIV/0!</v>
      </c>
    </row>
    <row r="200" spans="5:7" x14ac:dyDescent="0.3">
      <c r="E200">
        <f t="shared" si="13"/>
        <v>5910</v>
      </c>
      <c r="F200" t="e">
        <f t="shared" si="11"/>
        <v>#DIV/0!</v>
      </c>
      <c r="G200" t="e">
        <f t="shared" si="12"/>
        <v>#DIV/0!</v>
      </c>
    </row>
    <row r="201" spans="5:7" x14ac:dyDescent="0.3">
      <c r="E201">
        <f t="shared" si="13"/>
        <v>5940</v>
      </c>
      <c r="F201" t="e">
        <f t="shared" si="11"/>
        <v>#DIV/0!</v>
      </c>
      <c r="G201" t="e">
        <f t="shared" si="12"/>
        <v>#DIV/0!</v>
      </c>
    </row>
    <row r="202" spans="5:7" x14ac:dyDescent="0.3">
      <c r="E202">
        <f t="shared" si="13"/>
        <v>5970</v>
      </c>
      <c r="F202" t="e">
        <f t="shared" si="11"/>
        <v>#DIV/0!</v>
      </c>
      <c r="G202" t="e">
        <f t="shared" si="12"/>
        <v>#DIV/0!</v>
      </c>
    </row>
    <row r="203" spans="5:7" x14ac:dyDescent="0.3">
      <c r="E203">
        <f t="shared" si="13"/>
        <v>6000</v>
      </c>
      <c r="F203" t="e">
        <f t="shared" si="11"/>
        <v>#DIV/0!</v>
      </c>
      <c r="G203" t="e">
        <f t="shared" si="12"/>
        <v>#DIV/0!</v>
      </c>
    </row>
  </sheetData>
  <sheetProtection algorithmName="SHA-512" hashValue="5PSGmdtgxLtxgjphvgczXgXL96+TkZ5tH4F3OtKOSDSMsF/+9n3Gj9Q/hdECb8Vxf6fnWGEGqmTtkSk8+/KHnQ==" saltValue="HpnSh+O8N/JqcmIoYQhq+w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A4E27-55DD-4FDC-8EB3-9352C92C7713}">
  <sheetPr codeName="Sheet7"/>
  <dimension ref="A1:R203"/>
  <sheetViews>
    <sheetView zoomScale="115" zoomScaleNormal="115" workbookViewId="0">
      <selection activeCell="F2" sqref="A2:F2"/>
    </sheetView>
  </sheetViews>
  <sheetFormatPr defaultRowHeight="16.5" customHeight="1" zeroHeight="1" x14ac:dyDescent="0.3"/>
  <cols>
    <col min="2" max="2" width="14" bestFit="1" customWidth="1"/>
    <col min="6" max="6" width="9" customWidth="1"/>
    <col min="7" max="7" width="29.625" bestFit="1" customWidth="1"/>
    <col min="8" max="18" width="8.25" customWidth="1"/>
  </cols>
  <sheetData>
    <row r="1" spans="1:18" x14ac:dyDescent="0.3">
      <c r="A1" s="2" t="s">
        <v>15</v>
      </c>
    </row>
    <row r="2" spans="1:18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  <c r="I2" t="s">
        <v>18</v>
      </c>
      <c r="K2" t="s">
        <v>32</v>
      </c>
    </row>
    <row r="3" spans="1:18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>
        <f>($C$3+$J$20*E3+$M$14*E3^2+$M$15*E3^3+$M$16*E3^4)</f>
        <v>1000</v>
      </c>
      <c r="G3" t="str">
        <f>CONCATENATE("SPLINE ",$E3*1000,",",$F3)</f>
        <v>SPLINE 0,1000</v>
      </c>
      <c r="I3" t="s">
        <v>21</v>
      </c>
      <c r="K3" t="s">
        <v>33</v>
      </c>
    </row>
    <row r="4" spans="1:18" x14ac:dyDescent="0.3">
      <c r="E4">
        <f>E3+($D$3/200)</f>
        <v>30</v>
      </c>
      <c r="F4">
        <f t="shared" ref="F4:F67" si="0">($C$3+$J$20*E4+$M$14*E4^2+$M$15*E4^3+$M$16*E4^4)</f>
        <v>1001.18406</v>
      </c>
      <c r="G4" t="str">
        <f t="shared" ref="G4:G67" si="1">CONCATENATE("SPLINE ",$E4*1000,",",$F4)</f>
        <v>SPLINE 30000,1001.18406</v>
      </c>
      <c r="I4" t="s">
        <v>22</v>
      </c>
      <c r="K4" t="s">
        <v>34</v>
      </c>
    </row>
    <row r="5" spans="1:18" x14ac:dyDescent="0.3">
      <c r="E5">
        <f t="shared" ref="E5:E68" si="2">E4+($D$3/200)</f>
        <v>60</v>
      </c>
      <c r="F5">
        <f t="shared" si="0"/>
        <v>1004.6729599999999</v>
      </c>
      <c r="G5" t="str">
        <f t="shared" si="1"/>
        <v>SPLINE 60000,1004.67296</v>
      </c>
      <c r="I5" t="s">
        <v>31</v>
      </c>
      <c r="J5">
        <f>C3</f>
        <v>1000</v>
      </c>
    </row>
    <row r="6" spans="1:18" x14ac:dyDescent="0.3">
      <c r="E6">
        <f t="shared" si="2"/>
        <v>90</v>
      </c>
      <c r="F6">
        <f t="shared" si="0"/>
        <v>1010.3728599999999</v>
      </c>
      <c r="G6" t="str">
        <f t="shared" si="1"/>
        <v>SPLINE 90000,1010.37286</v>
      </c>
      <c r="I6" t="s">
        <v>5</v>
      </c>
      <c r="J6">
        <f>B3</f>
        <v>3000</v>
      </c>
      <c r="M6">
        <f>J7</f>
        <v>9000000</v>
      </c>
      <c r="N6">
        <f>J8</f>
        <v>27000000000</v>
      </c>
      <c r="O6">
        <f>J9</f>
        <v>81000000000000</v>
      </c>
      <c r="P6" t="s">
        <v>20</v>
      </c>
      <c r="R6">
        <f>J6-J5</f>
        <v>2000</v>
      </c>
    </row>
    <row r="7" spans="1:18" x14ac:dyDescent="0.3">
      <c r="E7">
        <f t="shared" si="2"/>
        <v>120</v>
      </c>
      <c r="F7">
        <f t="shared" si="0"/>
        <v>1018.19136</v>
      </c>
      <c r="G7" t="str">
        <f t="shared" si="1"/>
        <v>SPLINE 120000,1018.19136</v>
      </c>
      <c r="I7" t="s">
        <v>23</v>
      </c>
      <c r="J7">
        <f>J6^2</f>
        <v>9000000</v>
      </c>
      <c r="M7">
        <f>2*J6</f>
        <v>6000</v>
      </c>
      <c r="N7">
        <f>3*J7</f>
        <v>27000000</v>
      </c>
      <c r="O7">
        <f>4*J8</f>
        <v>108000000000</v>
      </c>
      <c r="Q7" t="s">
        <v>19</v>
      </c>
      <c r="R7">
        <v>0</v>
      </c>
    </row>
    <row r="8" spans="1:18" x14ac:dyDescent="0.3">
      <c r="E8">
        <f t="shared" si="2"/>
        <v>150</v>
      </c>
      <c r="F8">
        <f t="shared" si="0"/>
        <v>1028.0374999999999</v>
      </c>
      <c r="G8" t="str">
        <f t="shared" si="1"/>
        <v>SPLINE 150000,1028.0375</v>
      </c>
      <c r="I8" t="s">
        <v>24</v>
      </c>
      <c r="J8">
        <f>J6^3</f>
        <v>27000000000</v>
      </c>
      <c r="M8">
        <v>2</v>
      </c>
      <c r="N8">
        <f>6*J6</f>
        <v>18000</v>
      </c>
      <c r="O8">
        <f>12*J7</f>
        <v>108000000</v>
      </c>
      <c r="R8">
        <v>0</v>
      </c>
    </row>
    <row r="9" spans="1:18" x14ac:dyDescent="0.3">
      <c r="E9">
        <f t="shared" si="2"/>
        <v>180</v>
      </c>
      <c r="F9">
        <f t="shared" si="0"/>
        <v>1039.82176</v>
      </c>
      <c r="G9" t="str">
        <f t="shared" si="1"/>
        <v>SPLINE 180000,1039.82176</v>
      </c>
      <c r="I9" t="s">
        <v>25</v>
      </c>
      <c r="J9">
        <f>J6^4</f>
        <v>81000000000000</v>
      </c>
    </row>
    <row r="10" spans="1:18" x14ac:dyDescent="0.3">
      <c r="E10">
        <f t="shared" si="2"/>
        <v>210</v>
      </c>
      <c r="F10">
        <f t="shared" si="0"/>
        <v>1053.45606</v>
      </c>
      <c r="G10" t="str">
        <f t="shared" si="1"/>
        <v>SPLINE 210000,1053.45606</v>
      </c>
      <c r="K10" t="s">
        <v>26</v>
      </c>
      <c r="M10">
        <f t="array" ref="M10:O12">MINVERSE(M6:O8)</f>
        <v>6.6666666666666671E-7</v>
      </c>
      <c r="N10">
        <v>-9.999999999999998E-4</v>
      </c>
      <c r="O10">
        <v>0.5</v>
      </c>
      <c r="R10">
        <f>R6</f>
        <v>2000</v>
      </c>
    </row>
    <row r="11" spans="1:18" x14ac:dyDescent="0.3">
      <c r="E11">
        <f t="shared" si="2"/>
        <v>240</v>
      </c>
      <c r="F11">
        <f t="shared" si="0"/>
        <v>1068.85376</v>
      </c>
      <c r="G11" t="str">
        <f t="shared" si="1"/>
        <v>SPLINE 240000,1068.85376</v>
      </c>
      <c r="K11" t="s">
        <v>27</v>
      </c>
      <c r="L11" t="s">
        <v>19</v>
      </c>
      <c r="M11">
        <v>-2.9629629629629628E-10</v>
      </c>
      <c r="N11">
        <v>5.5555555555555552E-7</v>
      </c>
      <c r="O11">
        <v>-3.3333333333333332E-4</v>
      </c>
      <c r="Q11" t="s">
        <v>5</v>
      </c>
      <c r="R11">
        <f t="shared" ref="R11:R12" si="3">R7</f>
        <v>0</v>
      </c>
    </row>
    <row r="12" spans="1:18" x14ac:dyDescent="0.3">
      <c r="E12">
        <f t="shared" si="2"/>
        <v>270</v>
      </c>
      <c r="F12">
        <f t="shared" si="0"/>
        <v>1085.92966</v>
      </c>
      <c r="G12" t="str">
        <f t="shared" si="1"/>
        <v>SPLINE 270000,1085.92966</v>
      </c>
      <c r="K12" t="s">
        <v>28</v>
      </c>
      <c r="M12">
        <v>3.7037037037037041E-14</v>
      </c>
      <c r="N12">
        <v>-7.4074074074074071E-11</v>
      </c>
      <c r="O12">
        <v>5.5555555555555555E-8</v>
      </c>
      <c r="R12">
        <f t="shared" si="3"/>
        <v>0</v>
      </c>
    </row>
    <row r="13" spans="1:18" x14ac:dyDescent="0.3">
      <c r="E13">
        <f t="shared" si="2"/>
        <v>300</v>
      </c>
      <c r="F13">
        <f t="shared" si="0"/>
        <v>1104.5999999999999</v>
      </c>
      <c r="G13" t="str">
        <f t="shared" si="1"/>
        <v>SPLINE 300000,1104.6</v>
      </c>
    </row>
    <row r="14" spans="1:18" x14ac:dyDescent="0.3">
      <c r="E14">
        <f t="shared" si="2"/>
        <v>330</v>
      </c>
      <c r="F14">
        <f t="shared" si="0"/>
        <v>1124.7824599999999</v>
      </c>
      <c r="G14" t="str">
        <f t="shared" si="1"/>
        <v>SPLINE 330000,1124.78246</v>
      </c>
      <c r="K14" t="s">
        <v>26</v>
      </c>
      <c r="M14">
        <f t="array" ref="M14:M16">MMULT(M10:O12,R10:R12)</f>
        <v>1.3333333333333335E-3</v>
      </c>
    </row>
    <row r="15" spans="1:18" x14ac:dyDescent="0.3">
      <c r="E15">
        <f t="shared" si="2"/>
        <v>360</v>
      </c>
      <c r="F15">
        <f t="shared" si="0"/>
        <v>1146.39616</v>
      </c>
      <c r="G15" t="str">
        <f t="shared" si="1"/>
        <v>SPLINE 360000,1146.39616</v>
      </c>
      <c r="K15" t="s">
        <v>27</v>
      </c>
      <c r="L15" t="s">
        <v>19</v>
      </c>
      <c r="M15">
        <v>-5.9259259259259258E-7</v>
      </c>
    </row>
    <row r="16" spans="1:18" x14ac:dyDescent="0.3">
      <c r="E16">
        <f t="shared" si="2"/>
        <v>390</v>
      </c>
      <c r="F16">
        <f t="shared" si="0"/>
        <v>1169.3616599999998</v>
      </c>
      <c r="G16" t="str">
        <f t="shared" si="1"/>
        <v>SPLINE 390000,1169.36166</v>
      </c>
      <c r="K16" t="s">
        <v>28</v>
      </c>
      <c r="M16">
        <v>7.4074074074074084E-11</v>
      </c>
    </row>
    <row r="17" spans="5:10" x14ac:dyDescent="0.3">
      <c r="E17">
        <f t="shared" si="2"/>
        <v>420</v>
      </c>
      <c r="F17">
        <f t="shared" si="0"/>
        <v>1193.60096</v>
      </c>
      <c r="G17" t="str">
        <f t="shared" si="1"/>
        <v>SPLINE 420000,1193.60096</v>
      </c>
      <c r="I17" s="9" t="s">
        <v>30</v>
      </c>
      <c r="J17" s="9">
        <f>J19+J20*J18+J21*J18^2+J22*J18^3+J23*J18^4</f>
        <v>1000.0332593055556</v>
      </c>
    </row>
    <row r="18" spans="5:10" x14ac:dyDescent="0.3">
      <c r="E18">
        <f t="shared" si="2"/>
        <v>450</v>
      </c>
      <c r="F18">
        <f t="shared" si="0"/>
        <v>1219.0374999999999</v>
      </c>
      <c r="G18" t="str">
        <f t="shared" si="1"/>
        <v>SPLINE 450000,1219.0375</v>
      </c>
      <c r="I18" s="9" t="s">
        <v>29</v>
      </c>
      <c r="J18" s="9">
        <v>5</v>
      </c>
    </row>
    <row r="19" spans="5:10" x14ac:dyDescent="0.3">
      <c r="E19">
        <f t="shared" si="2"/>
        <v>480</v>
      </c>
      <c r="F19">
        <f t="shared" si="0"/>
        <v>1245.5961600000001</v>
      </c>
      <c r="G19" t="str">
        <f t="shared" si="1"/>
        <v>SPLINE 480000,1245.59616</v>
      </c>
      <c r="I19" s="9" t="s">
        <v>10</v>
      </c>
      <c r="J19" s="9">
        <f>J5</f>
        <v>1000</v>
      </c>
    </row>
    <row r="20" spans="5:10" x14ac:dyDescent="0.3">
      <c r="E20">
        <f t="shared" si="2"/>
        <v>510</v>
      </c>
      <c r="F20">
        <f t="shared" si="0"/>
        <v>1273.2032600000002</v>
      </c>
      <c r="G20" t="str">
        <f t="shared" si="1"/>
        <v>SPLINE 510000,1273.20326</v>
      </c>
      <c r="I20" s="9" t="s">
        <v>11</v>
      </c>
      <c r="J20" s="9">
        <v>0</v>
      </c>
    </row>
    <row r="21" spans="5:10" x14ac:dyDescent="0.3">
      <c r="E21">
        <f t="shared" si="2"/>
        <v>540</v>
      </c>
      <c r="F21">
        <f t="shared" si="0"/>
        <v>1301.7865600000002</v>
      </c>
      <c r="G21" t="str">
        <f t="shared" si="1"/>
        <v>SPLINE 540000,1301.78656</v>
      </c>
      <c r="I21" s="9" t="s">
        <v>12</v>
      </c>
      <c r="J21" s="9">
        <f>M14</f>
        <v>1.3333333333333335E-3</v>
      </c>
    </row>
    <row r="22" spans="5:10" x14ac:dyDescent="0.3">
      <c r="E22">
        <f t="shared" si="2"/>
        <v>570</v>
      </c>
      <c r="F22">
        <f t="shared" si="0"/>
        <v>1331.2752600000001</v>
      </c>
      <c r="G22" t="str">
        <f t="shared" si="1"/>
        <v>SPLINE 570000,1331.27526</v>
      </c>
      <c r="I22" s="9" t="s">
        <v>13</v>
      </c>
      <c r="J22" s="9">
        <f>M15</f>
        <v>-5.9259259259259258E-7</v>
      </c>
    </row>
    <row r="23" spans="5:10" x14ac:dyDescent="0.3">
      <c r="E23">
        <f t="shared" si="2"/>
        <v>600</v>
      </c>
      <c r="F23">
        <f t="shared" si="0"/>
        <v>1361.6</v>
      </c>
      <c r="G23" t="str">
        <f t="shared" si="1"/>
        <v>SPLINE 600000,1361.6</v>
      </c>
      <c r="I23" s="9" t="s">
        <v>14</v>
      </c>
      <c r="J23" s="9">
        <f>M16</f>
        <v>7.4074074074074084E-11</v>
      </c>
    </row>
    <row r="24" spans="5:10" x14ac:dyDescent="0.3">
      <c r="E24">
        <f t="shared" si="2"/>
        <v>630</v>
      </c>
      <c r="F24">
        <f t="shared" si="0"/>
        <v>1392.6928600000001</v>
      </c>
      <c r="G24" t="str">
        <f t="shared" si="1"/>
        <v>SPLINE 630000,1392.69286</v>
      </c>
    </row>
    <row r="25" spans="5:10" x14ac:dyDescent="0.3">
      <c r="E25">
        <f t="shared" si="2"/>
        <v>660</v>
      </c>
      <c r="F25">
        <f t="shared" si="0"/>
        <v>1424.4873600000003</v>
      </c>
      <c r="G25" t="str">
        <f t="shared" si="1"/>
        <v>SPLINE 660000,1424.48736</v>
      </c>
    </row>
    <row r="26" spans="5:10" x14ac:dyDescent="0.3">
      <c r="E26">
        <f t="shared" si="2"/>
        <v>690</v>
      </c>
      <c r="F26">
        <f t="shared" si="0"/>
        <v>1456.9184600000001</v>
      </c>
      <c r="G26" t="str">
        <f t="shared" si="1"/>
        <v>SPLINE 690000,1456.91846</v>
      </c>
    </row>
    <row r="27" spans="5:10" x14ac:dyDescent="0.3">
      <c r="E27">
        <f t="shared" si="2"/>
        <v>720</v>
      </c>
      <c r="F27">
        <f t="shared" si="0"/>
        <v>1489.92256</v>
      </c>
      <c r="G27" t="str">
        <f t="shared" si="1"/>
        <v>SPLINE 720000,1489.92256</v>
      </c>
    </row>
    <row r="28" spans="5:10" x14ac:dyDescent="0.3">
      <c r="E28">
        <f t="shared" si="2"/>
        <v>750</v>
      </c>
      <c r="F28">
        <f t="shared" si="0"/>
        <v>1523.4375</v>
      </c>
      <c r="G28" t="str">
        <f t="shared" si="1"/>
        <v>SPLINE 750000,1523.4375</v>
      </c>
    </row>
    <row r="29" spans="5:10" x14ac:dyDescent="0.3">
      <c r="E29">
        <f t="shared" si="2"/>
        <v>780</v>
      </c>
      <c r="F29">
        <f t="shared" si="0"/>
        <v>1557.4025600000004</v>
      </c>
      <c r="G29" t="str">
        <f t="shared" si="1"/>
        <v>SPLINE 780000,1557.40256</v>
      </c>
    </row>
    <row r="30" spans="5:10" x14ac:dyDescent="0.3">
      <c r="E30">
        <f t="shared" si="2"/>
        <v>810</v>
      </c>
      <c r="F30">
        <f t="shared" si="0"/>
        <v>1591.7584600000002</v>
      </c>
      <c r="G30" t="str">
        <f t="shared" si="1"/>
        <v>SPLINE 810000,1591.75846</v>
      </c>
    </row>
    <row r="31" spans="5:10" x14ac:dyDescent="0.3">
      <c r="E31">
        <f t="shared" si="2"/>
        <v>840</v>
      </c>
      <c r="F31">
        <f t="shared" si="0"/>
        <v>1626.4473600000001</v>
      </c>
      <c r="G31" t="str">
        <f t="shared" si="1"/>
        <v>SPLINE 840000,1626.44736</v>
      </c>
    </row>
    <row r="32" spans="5:10" x14ac:dyDescent="0.3">
      <c r="E32">
        <f t="shared" si="2"/>
        <v>870</v>
      </c>
      <c r="F32">
        <f t="shared" si="0"/>
        <v>1661.4128600000004</v>
      </c>
      <c r="G32" t="str">
        <f t="shared" si="1"/>
        <v>SPLINE 870000,1661.41286</v>
      </c>
    </row>
    <row r="33" spans="5:7" x14ac:dyDescent="0.3">
      <c r="E33">
        <f t="shared" si="2"/>
        <v>900</v>
      </c>
      <c r="F33">
        <f t="shared" si="0"/>
        <v>1696.6</v>
      </c>
      <c r="G33" t="str">
        <f t="shared" si="1"/>
        <v>SPLINE 900000,1696.6</v>
      </c>
    </row>
    <row r="34" spans="5:7" x14ac:dyDescent="0.3">
      <c r="E34">
        <f t="shared" si="2"/>
        <v>930</v>
      </c>
      <c r="F34">
        <f t="shared" si="0"/>
        <v>1731.95526</v>
      </c>
      <c r="G34" t="str">
        <f t="shared" si="1"/>
        <v>SPLINE 930000,1731.95526</v>
      </c>
    </row>
    <row r="35" spans="5:7" x14ac:dyDescent="0.3">
      <c r="E35">
        <f t="shared" si="2"/>
        <v>960</v>
      </c>
      <c r="F35">
        <f t="shared" si="0"/>
        <v>1767.4265600000001</v>
      </c>
      <c r="G35" t="str">
        <f t="shared" si="1"/>
        <v>SPLINE 960000,1767.42656</v>
      </c>
    </row>
    <row r="36" spans="5:7" x14ac:dyDescent="0.3">
      <c r="E36">
        <f t="shared" si="2"/>
        <v>990</v>
      </c>
      <c r="F36">
        <f t="shared" si="0"/>
        <v>1802.9632600000002</v>
      </c>
      <c r="G36" t="str">
        <f t="shared" si="1"/>
        <v>SPLINE 990000,1802.96326</v>
      </c>
    </row>
    <row r="37" spans="5:7" x14ac:dyDescent="0.3">
      <c r="E37">
        <f t="shared" si="2"/>
        <v>1020</v>
      </c>
      <c r="F37">
        <f t="shared" si="0"/>
        <v>1838.5161600000004</v>
      </c>
      <c r="G37" t="str">
        <f t="shared" si="1"/>
        <v>SPLINE 1020000,1838.51616</v>
      </c>
    </row>
    <row r="38" spans="5:7" x14ac:dyDescent="0.3">
      <c r="E38">
        <f t="shared" si="2"/>
        <v>1050</v>
      </c>
      <c r="F38">
        <f t="shared" si="0"/>
        <v>1874.0374999999999</v>
      </c>
      <c r="G38" t="str">
        <f t="shared" si="1"/>
        <v>SPLINE 1050000,1874.0375</v>
      </c>
    </row>
    <row r="39" spans="5:7" x14ac:dyDescent="0.3">
      <c r="E39">
        <f t="shared" si="2"/>
        <v>1080</v>
      </c>
      <c r="F39">
        <f t="shared" si="0"/>
        <v>1909.4809600000001</v>
      </c>
      <c r="G39" t="str">
        <f t="shared" si="1"/>
        <v>SPLINE 1080000,1909.48096</v>
      </c>
    </row>
    <row r="40" spans="5:7" x14ac:dyDescent="0.3">
      <c r="E40">
        <f t="shared" si="2"/>
        <v>1110</v>
      </c>
      <c r="F40">
        <f t="shared" si="0"/>
        <v>1944.8016600000003</v>
      </c>
      <c r="G40" t="str">
        <f t="shared" si="1"/>
        <v>SPLINE 1110000,1944.80166</v>
      </c>
    </row>
    <row r="41" spans="5:7" x14ac:dyDescent="0.3">
      <c r="E41">
        <f t="shared" si="2"/>
        <v>1140</v>
      </c>
      <c r="F41">
        <f t="shared" si="0"/>
        <v>1979.9561600000002</v>
      </c>
      <c r="G41" t="str">
        <f t="shared" si="1"/>
        <v>SPLINE 1140000,1979.95616</v>
      </c>
    </row>
    <row r="42" spans="5:7" x14ac:dyDescent="0.3">
      <c r="E42">
        <f t="shared" si="2"/>
        <v>1170</v>
      </c>
      <c r="F42">
        <f t="shared" si="0"/>
        <v>2014.9024600000005</v>
      </c>
      <c r="G42" t="str">
        <f t="shared" si="1"/>
        <v>SPLINE 1170000,2014.90246</v>
      </c>
    </row>
    <row r="43" spans="5:7" x14ac:dyDescent="0.3">
      <c r="E43">
        <f t="shared" si="2"/>
        <v>1200</v>
      </c>
      <c r="F43">
        <f t="shared" si="0"/>
        <v>2049.6</v>
      </c>
      <c r="G43" t="str">
        <f t="shared" si="1"/>
        <v>SPLINE 1200000,2049.6</v>
      </c>
    </row>
    <row r="44" spans="5:7" x14ac:dyDescent="0.3">
      <c r="E44">
        <f t="shared" si="2"/>
        <v>1230</v>
      </c>
      <c r="F44">
        <f t="shared" si="0"/>
        <v>2084.0096600000006</v>
      </c>
      <c r="G44" t="str">
        <f t="shared" si="1"/>
        <v>SPLINE 1230000,2084.00966</v>
      </c>
    </row>
    <row r="45" spans="5:7" x14ac:dyDescent="0.3">
      <c r="E45">
        <f t="shared" si="2"/>
        <v>1260</v>
      </c>
      <c r="F45">
        <f t="shared" si="0"/>
        <v>2118.0937600000002</v>
      </c>
      <c r="G45" t="str">
        <f t="shared" si="1"/>
        <v>SPLINE 1260000,2118.09376</v>
      </c>
    </row>
    <row r="46" spans="5:7" x14ac:dyDescent="0.3">
      <c r="E46">
        <f t="shared" si="2"/>
        <v>1290</v>
      </c>
      <c r="F46">
        <f t="shared" si="0"/>
        <v>2151.8160600000001</v>
      </c>
      <c r="G46" t="str">
        <f t="shared" si="1"/>
        <v>SPLINE 1290000,2151.81606</v>
      </c>
    </row>
    <row r="47" spans="5:7" x14ac:dyDescent="0.3">
      <c r="E47">
        <f t="shared" si="2"/>
        <v>1320</v>
      </c>
      <c r="F47">
        <f t="shared" si="0"/>
        <v>2185.1417600000004</v>
      </c>
      <c r="G47" t="str">
        <f t="shared" si="1"/>
        <v>SPLINE 1320000,2185.14176</v>
      </c>
    </row>
    <row r="48" spans="5:7" x14ac:dyDescent="0.3">
      <c r="E48">
        <f t="shared" si="2"/>
        <v>1350</v>
      </c>
      <c r="F48">
        <f t="shared" si="0"/>
        <v>2218.0375000000004</v>
      </c>
      <c r="G48" t="str">
        <f t="shared" si="1"/>
        <v>SPLINE 1350000,2218.0375</v>
      </c>
    </row>
    <row r="49" spans="5:7" x14ac:dyDescent="0.3">
      <c r="E49">
        <f t="shared" si="2"/>
        <v>1380</v>
      </c>
      <c r="F49">
        <f t="shared" si="0"/>
        <v>2250.4713600000005</v>
      </c>
      <c r="G49" t="str">
        <f t="shared" si="1"/>
        <v>SPLINE 1380000,2250.47136</v>
      </c>
    </row>
    <row r="50" spans="5:7" x14ac:dyDescent="0.3">
      <c r="E50">
        <f t="shared" si="2"/>
        <v>1410</v>
      </c>
      <c r="F50">
        <f t="shared" si="0"/>
        <v>2282.4128600000004</v>
      </c>
      <c r="G50" t="str">
        <f t="shared" si="1"/>
        <v>SPLINE 1410000,2282.41286</v>
      </c>
    </row>
    <row r="51" spans="5:7" x14ac:dyDescent="0.3">
      <c r="E51">
        <f t="shared" si="2"/>
        <v>1440</v>
      </c>
      <c r="F51">
        <f t="shared" si="0"/>
        <v>2313.8329600000002</v>
      </c>
      <c r="G51" t="str">
        <f t="shared" si="1"/>
        <v>SPLINE 1440000,2313.83296</v>
      </c>
    </row>
    <row r="52" spans="5:7" x14ac:dyDescent="0.3">
      <c r="E52">
        <f t="shared" si="2"/>
        <v>1470</v>
      </c>
      <c r="F52">
        <f t="shared" si="0"/>
        <v>2344.7040600000005</v>
      </c>
      <c r="G52" t="str">
        <f t="shared" si="1"/>
        <v>SPLINE 1470000,2344.70406</v>
      </c>
    </row>
    <row r="53" spans="5:7" x14ac:dyDescent="0.3">
      <c r="E53">
        <f t="shared" si="2"/>
        <v>1500</v>
      </c>
      <c r="F53">
        <f t="shared" si="0"/>
        <v>2375.0000000000005</v>
      </c>
      <c r="G53" t="str">
        <f t="shared" si="1"/>
        <v>SPLINE 1500000,2375</v>
      </c>
    </row>
    <row r="54" spans="5:7" x14ac:dyDescent="0.3">
      <c r="E54">
        <f t="shared" si="2"/>
        <v>1530</v>
      </c>
      <c r="F54">
        <f t="shared" si="0"/>
        <v>2404.6960600000007</v>
      </c>
      <c r="G54" t="str">
        <f t="shared" si="1"/>
        <v>SPLINE 1530000,2404.69606</v>
      </c>
    </row>
    <row r="55" spans="5:7" x14ac:dyDescent="0.3">
      <c r="E55">
        <f t="shared" si="2"/>
        <v>1560</v>
      </c>
      <c r="F55">
        <f t="shared" si="0"/>
        <v>2433.7689600000012</v>
      </c>
      <c r="G55" t="str">
        <f t="shared" si="1"/>
        <v>SPLINE 1560000,2433.76896</v>
      </c>
    </row>
    <row r="56" spans="5:7" x14ac:dyDescent="0.3">
      <c r="E56">
        <f t="shared" si="2"/>
        <v>1590</v>
      </c>
      <c r="F56">
        <f t="shared" si="0"/>
        <v>2462.1968600000009</v>
      </c>
      <c r="G56" t="str">
        <f t="shared" si="1"/>
        <v>SPLINE 1590000,2462.19686</v>
      </c>
    </row>
    <row r="57" spans="5:7" x14ac:dyDescent="0.3">
      <c r="E57">
        <f t="shared" si="2"/>
        <v>1620</v>
      </c>
      <c r="F57">
        <f t="shared" si="0"/>
        <v>2489.9593600000007</v>
      </c>
      <c r="G57" t="str">
        <f t="shared" si="1"/>
        <v>SPLINE 1620000,2489.95936</v>
      </c>
    </row>
    <row r="58" spans="5:7" x14ac:dyDescent="0.3">
      <c r="E58">
        <f t="shared" si="2"/>
        <v>1650</v>
      </c>
      <c r="F58">
        <f t="shared" si="0"/>
        <v>2517.0374999999999</v>
      </c>
      <c r="G58" t="str">
        <f t="shared" si="1"/>
        <v>SPLINE 1650000,2517.0375</v>
      </c>
    </row>
    <row r="59" spans="5:7" x14ac:dyDescent="0.3">
      <c r="E59">
        <f t="shared" si="2"/>
        <v>1680</v>
      </c>
      <c r="F59">
        <f t="shared" si="0"/>
        <v>2543.4137600000013</v>
      </c>
      <c r="G59" t="str">
        <f t="shared" si="1"/>
        <v>SPLINE 1680000,2543.41376</v>
      </c>
    </row>
    <row r="60" spans="5:7" x14ac:dyDescent="0.3">
      <c r="E60">
        <f t="shared" si="2"/>
        <v>1710</v>
      </c>
      <c r="F60">
        <f t="shared" si="0"/>
        <v>2569.0720600000013</v>
      </c>
      <c r="G60" t="str">
        <f t="shared" si="1"/>
        <v>SPLINE 1710000,2569.07206</v>
      </c>
    </row>
    <row r="61" spans="5:7" x14ac:dyDescent="0.3">
      <c r="E61">
        <f t="shared" si="2"/>
        <v>1740</v>
      </c>
      <c r="F61">
        <f t="shared" si="0"/>
        <v>2593.9977600000011</v>
      </c>
      <c r="G61" t="str">
        <f t="shared" si="1"/>
        <v>SPLINE 1740000,2593.99776</v>
      </c>
    </row>
    <row r="62" spans="5:7" x14ac:dyDescent="0.3">
      <c r="E62">
        <f t="shared" si="2"/>
        <v>1770</v>
      </c>
      <c r="F62">
        <f t="shared" si="0"/>
        <v>2618.1776600000012</v>
      </c>
      <c r="G62" t="str">
        <f t="shared" si="1"/>
        <v>SPLINE 1770000,2618.17766</v>
      </c>
    </row>
    <row r="63" spans="5:7" x14ac:dyDescent="0.3">
      <c r="E63">
        <f t="shared" si="2"/>
        <v>1800</v>
      </c>
      <c r="F63">
        <f t="shared" si="0"/>
        <v>2641.6000000000013</v>
      </c>
      <c r="G63" t="str">
        <f t="shared" si="1"/>
        <v>SPLINE 1800000,2641.6</v>
      </c>
    </row>
    <row r="64" spans="5:7" x14ac:dyDescent="0.3">
      <c r="E64">
        <f t="shared" si="2"/>
        <v>1830</v>
      </c>
      <c r="F64">
        <f t="shared" si="0"/>
        <v>2664.254460000001</v>
      </c>
      <c r="G64" t="str">
        <f t="shared" si="1"/>
        <v>SPLINE 1830000,2664.25446</v>
      </c>
    </row>
    <row r="65" spans="5:7" x14ac:dyDescent="0.3">
      <c r="E65">
        <f t="shared" si="2"/>
        <v>1860</v>
      </c>
      <c r="F65">
        <f t="shared" si="0"/>
        <v>2686.1321600000001</v>
      </c>
      <c r="G65" t="str">
        <f t="shared" si="1"/>
        <v>SPLINE 1860000,2686.13216</v>
      </c>
    </row>
    <row r="66" spans="5:7" x14ac:dyDescent="0.3">
      <c r="E66">
        <f t="shared" si="2"/>
        <v>1890</v>
      </c>
      <c r="F66">
        <f t="shared" si="0"/>
        <v>2707.2256600000005</v>
      </c>
      <c r="G66" t="str">
        <f t="shared" si="1"/>
        <v>SPLINE 1890000,2707.22566</v>
      </c>
    </row>
    <row r="67" spans="5:7" x14ac:dyDescent="0.3">
      <c r="E67">
        <f t="shared" si="2"/>
        <v>1920</v>
      </c>
      <c r="F67">
        <f t="shared" si="0"/>
        <v>2727.5289600000006</v>
      </c>
      <c r="G67" t="str">
        <f t="shared" si="1"/>
        <v>SPLINE 1920000,2727.52896</v>
      </c>
    </row>
    <row r="68" spans="5:7" x14ac:dyDescent="0.3">
      <c r="E68">
        <f t="shared" si="2"/>
        <v>1950</v>
      </c>
      <c r="F68">
        <f t="shared" ref="F68:F131" si="4">($C$3+$J$20*E68+$M$14*E68^2+$M$15*E68^3+$M$16*E68^4)</f>
        <v>2747.0375000000013</v>
      </c>
      <c r="G68" t="str">
        <f t="shared" ref="G68:G131" si="5">CONCATENATE("SPLINE ",$E68*1000,",",$F68)</f>
        <v>SPLINE 1950000,2747.0375</v>
      </c>
    </row>
    <row r="69" spans="5:7" x14ac:dyDescent="0.3">
      <c r="E69">
        <f t="shared" ref="E69:E132" si="6">E68+($D$3/200)</f>
        <v>1980</v>
      </c>
      <c r="F69">
        <f t="shared" si="4"/>
        <v>2765.748160000001</v>
      </c>
      <c r="G69" t="str">
        <f t="shared" si="5"/>
        <v>SPLINE 1980000,2765.74816</v>
      </c>
    </row>
    <row r="70" spans="5:7" x14ac:dyDescent="0.3">
      <c r="E70">
        <f t="shared" si="6"/>
        <v>2010</v>
      </c>
      <c r="F70">
        <f t="shared" si="4"/>
        <v>2783.6592600000017</v>
      </c>
      <c r="G70" t="str">
        <f t="shared" si="5"/>
        <v>SPLINE 2010000,2783.65926</v>
      </c>
    </row>
    <row r="71" spans="5:7" x14ac:dyDescent="0.3">
      <c r="E71">
        <f t="shared" si="6"/>
        <v>2040</v>
      </c>
      <c r="F71">
        <f t="shared" si="4"/>
        <v>2800.7705600000008</v>
      </c>
      <c r="G71" t="str">
        <f t="shared" si="5"/>
        <v>SPLINE 2040000,2800.77056</v>
      </c>
    </row>
    <row r="72" spans="5:7" x14ac:dyDescent="0.3">
      <c r="E72">
        <f t="shared" si="6"/>
        <v>2070</v>
      </c>
      <c r="F72">
        <f t="shared" si="4"/>
        <v>2817.0832600000003</v>
      </c>
      <c r="G72" t="str">
        <f t="shared" si="5"/>
        <v>SPLINE 2070000,2817.08326</v>
      </c>
    </row>
    <row r="73" spans="5:7" x14ac:dyDescent="0.3">
      <c r="E73">
        <f t="shared" si="6"/>
        <v>2100</v>
      </c>
      <c r="F73">
        <f t="shared" si="4"/>
        <v>2832.6000000000013</v>
      </c>
      <c r="G73" t="str">
        <f t="shared" si="5"/>
        <v>SPLINE 2100000,2832.6</v>
      </c>
    </row>
    <row r="74" spans="5:7" x14ac:dyDescent="0.3">
      <c r="E74">
        <f t="shared" si="6"/>
        <v>2130</v>
      </c>
      <c r="F74">
        <f t="shared" si="4"/>
        <v>2847.3248600000006</v>
      </c>
      <c r="G74" t="str">
        <f t="shared" si="5"/>
        <v>SPLINE 2130000,2847.32486</v>
      </c>
    </row>
    <row r="75" spans="5:7" x14ac:dyDescent="0.3">
      <c r="E75">
        <f t="shared" si="6"/>
        <v>2160</v>
      </c>
      <c r="F75">
        <f t="shared" si="4"/>
        <v>2861.2633600000017</v>
      </c>
      <c r="G75" t="str">
        <f t="shared" si="5"/>
        <v>SPLINE 2160000,2861.26336</v>
      </c>
    </row>
    <row r="76" spans="5:7" x14ac:dyDescent="0.3">
      <c r="E76">
        <f t="shared" si="6"/>
        <v>2190</v>
      </c>
      <c r="F76">
        <f t="shared" si="4"/>
        <v>2874.4224600000016</v>
      </c>
      <c r="G76" t="str">
        <f t="shared" si="5"/>
        <v>SPLINE 2190000,2874.42246</v>
      </c>
    </row>
    <row r="77" spans="5:7" x14ac:dyDescent="0.3">
      <c r="E77">
        <f t="shared" si="6"/>
        <v>2220</v>
      </c>
      <c r="F77">
        <f t="shared" si="4"/>
        <v>2886.8105600000008</v>
      </c>
      <c r="G77" t="str">
        <f t="shared" si="5"/>
        <v>SPLINE 2220000,2886.81056</v>
      </c>
    </row>
    <row r="78" spans="5:7" x14ac:dyDescent="0.3">
      <c r="E78">
        <f t="shared" si="6"/>
        <v>2250</v>
      </c>
      <c r="F78">
        <f t="shared" si="4"/>
        <v>2898.4375000000009</v>
      </c>
      <c r="G78" t="str">
        <f t="shared" si="5"/>
        <v>SPLINE 2250000,2898.4375</v>
      </c>
    </row>
    <row r="79" spans="5:7" x14ac:dyDescent="0.3">
      <c r="E79">
        <f t="shared" si="6"/>
        <v>2280</v>
      </c>
      <c r="F79">
        <f t="shared" si="4"/>
        <v>2909.3145600000007</v>
      </c>
      <c r="G79" t="str">
        <f t="shared" si="5"/>
        <v>SPLINE 2280000,2909.31456</v>
      </c>
    </row>
    <row r="80" spans="5:7" x14ac:dyDescent="0.3">
      <c r="E80">
        <f t="shared" si="6"/>
        <v>2310</v>
      </c>
      <c r="F80">
        <f t="shared" si="4"/>
        <v>2919.4544600000013</v>
      </c>
      <c r="G80" t="str">
        <f t="shared" si="5"/>
        <v>SPLINE 2310000,2919.45446</v>
      </c>
    </row>
    <row r="81" spans="5:7" x14ac:dyDescent="0.3">
      <c r="E81">
        <f t="shared" si="6"/>
        <v>2340</v>
      </c>
      <c r="F81">
        <f t="shared" si="4"/>
        <v>2928.8713600000019</v>
      </c>
      <c r="G81" t="str">
        <f t="shared" si="5"/>
        <v>SPLINE 2340000,2928.87136</v>
      </c>
    </row>
    <row r="82" spans="5:7" x14ac:dyDescent="0.3">
      <c r="E82">
        <f t="shared" si="6"/>
        <v>2370</v>
      </c>
      <c r="F82">
        <f t="shared" si="4"/>
        <v>2937.5808600000014</v>
      </c>
      <c r="G82" t="str">
        <f t="shared" si="5"/>
        <v>SPLINE 2370000,2937.58086</v>
      </c>
    </row>
    <row r="83" spans="5:7" x14ac:dyDescent="0.3">
      <c r="E83">
        <f t="shared" si="6"/>
        <v>2400</v>
      </c>
      <c r="F83">
        <f t="shared" si="4"/>
        <v>2945.6000000000004</v>
      </c>
      <c r="G83" t="str">
        <f t="shared" si="5"/>
        <v>SPLINE 2400000,2945.6</v>
      </c>
    </row>
    <row r="84" spans="5:7" x14ac:dyDescent="0.3">
      <c r="E84">
        <f t="shared" si="6"/>
        <v>2430</v>
      </c>
      <c r="F84">
        <f t="shared" si="4"/>
        <v>2952.9472600000004</v>
      </c>
      <c r="G84" t="str">
        <f t="shared" si="5"/>
        <v>SPLINE 2430000,2952.94726</v>
      </c>
    </row>
    <row r="85" spans="5:7" x14ac:dyDescent="0.3">
      <c r="E85">
        <f t="shared" si="6"/>
        <v>2460</v>
      </c>
      <c r="F85">
        <f t="shared" si="4"/>
        <v>2959.6425600000025</v>
      </c>
      <c r="G85" t="str">
        <f t="shared" si="5"/>
        <v>SPLINE 2460000,2959.64256</v>
      </c>
    </row>
    <row r="86" spans="5:7" x14ac:dyDescent="0.3">
      <c r="E86">
        <f t="shared" si="6"/>
        <v>2490</v>
      </c>
      <c r="F86">
        <f t="shared" si="4"/>
        <v>2965.707260000001</v>
      </c>
      <c r="G86" t="str">
        <f t="shared" si="5"/>
        <v>SPLINE 2490000,2965.70726</v>
      </c>
    </row>
    <row r="87" spans="5:7" x14ac:dyDescent="0.3">
      <c r="E87">
        <f t="shared" si="6"/>
        <v>2520</v>
      </c>
      <c r="F87">
        <f t="shared" si="4"/>
        <v>2971.1641600000021</v>
      </c>
      <c r="G87" t="str">
        <f t="shared" si="5"/>
        <v>SPLINE 2520000,2971.16416</v>
      </c>
    </row>
    <row r="88" spans="5:7" x14ac:dyDescent="0.3">
      <c r="E88">
        <f t="shared" si="6"/>
        <v>2550</v>
      </c>
      <c r="F88">
        <f t="shared" si="4"/>
        <v>2976.0375000000022</v>
      </c>
      <c r="G88" t="str">
        <f t="shared" si="5"/>
        <v>SPLINE 2550000,2976.0375</v>
      </c>
    </row>
    <row r="89" spans="5:7" x14ac:dyDescent="0.3">
      <c r="E89">
        <f t="shared" si="6"/>
        <v>2580</v>
      </c>
      <c r="F89">
        <f t="shared" si="4"/>
        <v>2980.3529600000006</v>
      </c>
      <c r="G89" t="str">
        <f t="shared" si="5"/>
        <v>SPLINE 2580000,2980.35296</v>
      </c>
    </row>
    <row r="90" spans="5:7" x14ac:dyDescent="0.3">
      <c r="E90">
        <f t="shared" si="6"/>
        <v>2610</v>
      </c>
      <c r="F90">
        <f t="shared" si="4"/>
        <v>2984.1376600000008</v>
      </c>
      <c r="G90" t="str">
        <f t="shared" si="5"/>
        <v>SPLINE 2610000,2984.13766</v>
      </c>
    </row>
    <row r="91" spans="5:7" x14ac:dyDescent="0.3">
      <c r="E91">
        <f t="shared" si="6"/>
        <v>2640</v>
      </c>
      <c r="F91">
        <f t="shared" si="4"/>
        <v>2987.4201600000019</v>
      </c>
      <c r="G91" t="str">
        <f t="shared" si="5"/>
        <v>SPLINE 2640000,2987.42016</v>
      </c>
    </row>
    <row r="92" spans="5:7" x14ac:dyDescent="0.3">
      <c r="E92">
        <f t="shared" si="6"/>
        <v>2670</v>
      </c>
      <c r="F92">
        <f t="shared" si="4"/>
        <v>2990.230460000002</v>
      </c>
      <c r="G92" t="str">
        <f t="shared" si="5"/>
        <v>SPLINE 2670000,2990.23046</v>
      </c>
    </row>
    <row r="93" spans="5:7" x14ac:dyDescent="0.3">
      <c r="E93">
        <f t="shared" si="6"/>
        <v>2700</v>
      </c>
      <c r="F93">
        <f t="shared" si="4"/>
        <v>2992.6000000000022</v>
      </c>
      <c r="G93" t="str">
        <f t="shared" si="5"/>
        <v>SPLINE 2700000,2992.6</v>
      </c>
    </row>
    <row r="94" spans="5:7" x14ac:dyDescent="0.3">
      <c r="E94">
        <f t="shared" si="6"/>
        <v>2730</v>
      </c>
      <c r="F94">
        <f t="shared" si="4"/>
        <v>2994.5616600000012</v>
      </c>
      <c r="G94" t="str">
        <f t="shared" si="5"/>
        <v>SPLINE 2730000,2994.56166</v>
      </c>
    </row>
    <row r="95" spans="5:7" x14ac:dyDescent="0.3">
      <c r="E95">
        <f t="shared" si="6"/>
        <v>2760</v>
      </c>
      <c r="F95">
        <f t="shared" si="4"/>
        <v>2996.1497600000021</v>
      </c>
      <c r="G95" t="str">
        <f t="shared" si="5"/>
        <v>SPLINE 2760000,2996.14976</v>
      </c>
    </row>
    <row r="96" spans="5:7" x14ac:dyDescent="0.3">
      <c r="E96">
        <f t="shared" si="6"/>
        <v>2790</v>
      </c>
      <c r="F96">
        <f t="shared" si="4"/>
        <v>2997.4000600000018</v>
      </c>
      <c r="G96" t="str">
        <f t="shared" si="5"/>
        <v>SPLINE 2790000,2997.40006</v>
      </c>
    </row>
    <row r="97" spans="5:7" x14ac:dyDescent="0.3">
      <c r="E97">
        <f t="shared" si="6"/>
        <v>2820</v>
      </c>
      <c r="F97">
        <f t="shared" si="4"/>
        <v>2998.3497600000019</v>
      </c>
      <c r="G97" t="str">
        <f t="shared" si="5"/>
        <v>SPLINE 2820000,2998.34976</v>
      </c>
    </row>
    <row r="98" spans="5:7" x14ac:dyDescent="0.3">
      <c r="E98">
        <f t="shared" si="6"/>
        <v>2850</v>
      </c>
      <c r="F98">
        <f t="shared" si="4"/>
        <v>2999.0375000000022</v>
      </c>
      <c r="G98" t="str">
        <f t="shared" si="5"/>
        <v>SPLINE 2850000,2999.0375</v>
      </c>
    </row>
    <row r="99" spans="5:7" x14ac:dyDescent="0.3">
      <c r="E99">
        <f t="shared" si="6"/>
        <v>2880</v>
      </c>
      <c r="F99">
        <f t="shared" si="4"/>
        <v>2999.5033600000015</v>
      </c>
      <c r="G99" t="str">
        <f t="shared" si="5"/>
        <v>SPLINE 2880000,2999.50336</v>
      </c>
    </row>
    <row r="100" spans="5:7" x14ac:dyDescent="0.3">
      <c r="E100">
        <f t="shared" si="6"/>
        <v>2910</v>
      </c>
      <c r="F100">
        <f t="shared" si="4"/>
        <v>2999.7888600000015</v>
      </c>
      <c r="G100" t="str">
        <f t="shared" si="5"/>
        <v>SPLINE 2910000,2999.78886</v>
      </c>
    </row>
    <row r="101" spans="5:7" x14ac:dyDescent="0.3">
      <c r="E101">
        <f t="shared" si="6"/>
        <v>2940</v>
      </c>
      <c r="F101">
        <f t="shared" si="4"/>
        <v>2999.9369600000018</v>
      </c>
      <c r="G101" t="str">
        <f t="shared" si="5"/>
        <v>SPLINE 2940000,2999.93696</v>
      </c>
    </row>
    <row r="102" spans="5:7" x14ac:dyDescent="0.3">
      <c r="E102">
        <f t="shared" si="6"/>
        <v>2970</v>
      </c>
      <c r="F102">
        <f t="shared" si="4"/>
        <v>2999.9920600000014</v>
      </c>
      <c r="G102" t="str">
        <f t="shared" si="5"/>
        <v>SPLINE 2970000,2999.99206</v>
      </c>
    </row>
    <row r="103" spans="5:7" x14ac:dyDescent="0.3">
      <c r="E103">
        <f t="shared" si="6"/>
        <v>3000</v>
      </c>
      <c r="F103">
        <f t="shared" si="4"/>
        <v>3000.0000000000027</v>
      </c>
      <c r="G103" t="str">
        <f t="shared" si="5"/>
        <v>SPLINE 3000000,3000</v>
      </c>
    </row>
    <row r="104" spans="5:7" s="8" customFormat="1" x14ac:dyDescent="0.3">
      <c r="E104" s="8">
        <f t="shared" si="6"/>
        <v>3030</v>
      </c>
      <c r="F104">
        <f t="shared" si="4"/>
        <v>3000.0080600000028</v>
      </c>
      <c r="G104" t="str">
        <f t="shared" si="5"/>
        <v>SPLINE 3030000,3000.00806</v>
      </c>
    </row>
    <row r="105" spans="5:7" x14ac:dyDescent="0.3">
      <c r="E105">
        <f t="shared" si="6"/>
        <v>3060</v>
      </c>
      <c r="F105">
        <f t="shared" si="4"/>
        <v>3000.0649600000006</v>
      </c>
      <c r="G105" t="str">
        <f t="shared" si="5"/>
        <v>SPLINE 3060000,3000.06496</v>
      </c>
    </row>
    <row r="106" spans="5:7" x14ac:dyDescent="0.3">
      <c r="E106">
        <f t="shared" si="6"/>
        <v>3090</v>
      </c>
      <c r="F106">
        <f t="shared" si="4"/>
        <v>3000.2208600000004</v>
      </c>
      <c r="G106" t="str">
        <f t="shared" si="5"/>
        <v>SPLINE 3090000,3000.22086</v>
      </c>
    </row>
    <row r="107" spans="5:7" x14ac:dyDescent="0.3">
      <c r="E107">
        <f t="shared" si="6"/>
        <v>3120</v>
      </c>
      <c r="F107">
        <f t="shared" si="4"/>
        <v>3000.5273600000028</v>
      </c>
      <c r="G107" t="str">
        <f t="shared" si="5"/>
        <v>SPLINE 3120000,3000.52736</v>
      </c>
    </row>
    <row r="108" spans="5:7" x14ac:dyDescent="0.3">
      <c r="E108">
        <f t="shared" si="6"/>
        <v>3150</v>
      </c>
      <c r="F108">
        <f t="shared" si="4"/>
        <v>3001.0375000000031</v>
      </c>
      <c r="G108" t="str">
        <f t="shared" si="5"/>
        <v>SPLINE 3150000,3001.0375</v>
      </c>
    </row>
    <row r="109" spans="5:7" x14ac:dyDescent="0.3">
      <c r="E109">
        <f t="shared" si="6"/>
        <v>3180</v>
      </c>
      <c r="F109">
        <f t="shared" si="4"/>
        <v>3001.805760000002</v>
      </c>
      <c r="G109" t="str">
        <f t="shared" si="5"/>
        <v>SPLINE 3180000,3001.80576</v>
      </c>
    </row>
    <row r="110" spans="5:7" x14ac:dyDescent="0.3">
      <c r="E110">
        <f t="shared" si="6"/>
        <v>3210</v>
      </c>
      <c r="F110">
        <f t="shared" si="4"/>
        <v>3002.8880600000039</v>
      </c>
      <c r="G110" t="str">
        <f t="shared" si="5"/>
        <v>SPLINE 3210000,3002.88806</v>
      </c>
    </row>
    <row r="111" spans="5:7" x14ac:dyDescent="0.3">
      <c r="E111">
        <f t="shared" si="6"/>
        <v>3240</v>
      </c>
      <c r="F111">
        <f t="shared" si="4"/>
        <v>3004.3417600000021</v>
      </c>
      <c r="G111" t="str">
        <f t="shared" si="5"/>
        <v>SPLINE 3240000,3004.34176</v>
      </c>
    </row>
    <row r="112" spans="5:7" x14ac:dyDescent="0.3">
      <c r="E112">
        <f t="shared" si="6"/>
        <v>3270</v>
      </c>
      <c r="F112">
        <f t="shared" si="4"/>
        <v>3006.2256600000037</v>
      </c>
      <c r="G112" t="str">
        <f t="shared" si="5"/>
        <v>SPLINE 3270000,3006.22566</v>
      </c>
    </row>
    <row r="113" spans="5:7" x14ac:dyDescent="0.3">
      <c r="E113">
        <f t="shared" si="6"/>
        <v>3300</v>
      </c>
      <c r="F113">
        <f t="shared" si="4"/>
        <v>3008.6000000000022</v>
      </c>
      <c r="G113" t="str">
        <f t="shared" si="5"/>
        <v>SPLINE 3300000,3008.6</v>
      </c>
    </row>
    <row r="114" spans="5:7" x14ac:dyDescent="0.3">
      <c r="E114">
        <f t="shared" si="6"/>
        <v>3330</v>
      </c>
      <c r="F114">
        <f t="shared" si="4"/>
        <v>3011.5264600000028</v>
      </c>
      <c r="G114" t="str">
        <f t="shared" si="5"/>
        <v>SPLINE 3330000,3011.52646</v>
      </c>
    </row>
    <row r="115" spans="5:7" x14ac:dyDescent="0.3">
      <c r="E115">
        <f t="shared" si="6"/>
        <v>3360</v>
      </c>
      <c r="F115">
        <f t="shared" si="4"/>
        <v>3015.0681600000044</v>
      </c>
      <c r="G115" t="str">
        <f t="shared" si="5"/>
        <v>SPLINE 3360000,3015.06816</v>
      </c>
    </row>
    <row r="116" spans="5:7" x14ac:dyDescent="0.3">
      <c r="E116">
        <f t="shared" si="6"/>
        <v>3390</v>
      </c>
      <c r="F116">
        <f t="shared" si="4"/>
        <v>3019.289660000004</v>
      </c>
      <c r="G116" t="str">
        <f t="shared" si="5"/>
        <v>SPLINE 3390000,3019.28966</v>
      </c>
    </row>
    <row r="117" spans="5:7" x14ac:dyDescent="0.3">
      <c r="E117">
        <f t="shared" si="6"/>
        <v>3420</v>
      </c>
      <c r="F117">
        <f t="shared" si="4"/>
        <v>3024.2569600000079</v>
      </c>
      <c r="G117" t="str">
        <f t="shared" si="5"/>
        <v>SPLINE 3420000,3024.25696000001</v>
      </c>
    </row>
    <row r="118" spans="5:7" x14ac:dyDescent="0.3">
      <c r="E118">
        <f t="shared" si="6"/>
        <v>3450</v>
      </c>
      <c r="F118">
        <f t="shared" si="4"/>
        <v>3030.0375000000022</v>
      </c>
      <c r="G118" t="str">
        <f t="shared" si="5"/>
        <v>SPLINE 3450000,3030.0375</v>
      </c>
    </row>
    <row r="119" spans="5:7" x14ac:dyDescent="0.3">
      <c r="E119">
        <f t="shared" si="6"/>
        <v>3480</v>
      </c>
      <c r="F119">
        <f t="shared" si="4"/>
        <v>3036.7001600000058</v>
      </c>
      <c r="G119" t="str">
        <f t="shared" si="5"/>
        <v>SPLINE 3480000,3036.70016000001</v>
      </c>
    </row>
    <row r="120" spans="5:7" x14ac:dyDescent="0.3">
      <c r="E120">
        <f t="shared" si="6"/>
        <v>3510</v>
      </c>
      <c r="F120">
        <f t="shared" si="4"/>
        <v>3044.315260000003</v>
      </c>
      <c r="G120" t="str">
        <f t="shared" si="5"/>
        <v>SPLINE 3510000,3044.31526</v>
      </c>
    </row>
    <row r="121" spans="5:7" x14ac:dyDescent="0.3">
      <c r="E121">
        <f t="shared" si="6"/>
        <v>3540</v>
      </c>
      <c r="F121">
        <f t="shared" si="4"/>
        <v>3052.9545600000056</v>
      </c>
      <c r="G121" t="str">
        <f t="shared" si="5"/>
        <v>SPLINE 3540000,3052.95456000001</v>
      </c>
    </row>
    <row r="122" spans="5:7" x14ac:dyDescent="0.3">
      <c r="E122">
        <f t="shared" si="6"/>
        <v>3570</v>
      </c>
      <c r="F122">
        <f t="shared" si="4"/>
        <v>3062.6912600000051</v>
      </c>
      <c r="G122" t="str">
        <f t="shared" si="5"/>
        <v>SPLINE 3570000,3062.69126000001</v>
      </c>
    </row>
    <row r="123" spans="5:7" x14ac:dyDescent="0.3">
      <c r="E123">
        <f t="shared" si="6"/>
        <v>3600</v>
      </c>
      <c r="F123">
        <f t="shared" si="4"/>
        <v>3073.6000000000058</v>
      </c>
      <c r="G123" t="str">
        <f t="shared" si="5"/>
        <v>SPLINE 3600000,3073.60000000001</v>
      </c>
    </row>
    <row r="124" spans="5:7" x14ac:dyDescent="0.3">
      <c r="E124">
        <f t="shared" si="6"/>
        <v>3630</v>
      </c>
      <c r="F124">
        <f t="shared" si="4"/>
        <v>3085.7568600000031</v>
      </c>
      <c r="G124" t="str">
        <f t="shared" si="5"/>
        <v>SPLINE 3630000,3085.75686</v>
      </c>
    </row>
    <row r="125" spans="5:7" x14ac:dyDescent="0.3">
      <c r="E125">
        <f t="shared" si="6"/>
        <v>3660</v>
      </c>
      <c r="F125">
        <f t="shared" si="4"/>
        <v>3099.239360000005</v>
      </c>
      <c r="G125" t="str">
        <f t="shared" si="5"/>
        <v>SPLINE 3660000,3099.23936000001</v>
      </c>
    </row>
    <row r="126" spans="5:7" x14ac:dyDescent="0.3">
      <c r="E126">
        <f t="shared" si="6"/>
        <v>3690</v>
      </c>
      <c r="F126">
        <f t="shared" si="4"/>
        <v>3114.126460000005</v>
      </c>
      <c r="G126" t="str">
        <f t="shared" si="5"/>
        <v>SPLINE 3690000,3114.12646</v>
      </c>
    </row>
    <row r="127" spans="5:7" x14ac:dyDescent="0.3">
      <c r="E127">
        <f t="shared" si="6"/>
        <v>3720</v>
      </c>
      <c r="F127">
        <f t="shared" si="4"/>
        <v>3130.4985600000018</v>
      </c>
      <c r="G127" t="str">
        <f t="shared" si="5"/>
        <v>SPLINE 3720000,3130.49856</v>
      </c>
    </row>
    <row r="128" spans="5:7" x14ac:dyDescent="0.3">
      <c r="E128">
        <f t="shared" si="6"/>
        <v>3750</v>
      </c>
      <c r="F128">
        <f t="shared" si="4"/>
        <v>3148.4375000000055</v>
      </c>
      <c r="G128" t="str">
        <f t="shared" si="5"/>
        <v>SPLINE 3750000,3148.43750000001</v>
      </c>
    </row>
    <row r="129" spans="3:7" x14ac:dyDescent="0.3">
      <c r="E129">
        <f t="shared" si="6"/>
        <v>3780</v>
      </c>
      <c r="F129">
        <f t="shared" si="4"/>
        <v>3168.0265600000039</v>
      </c>
      <c r="G129" t="str">
        <f t="shared" si="5"/>
        <v>SPLINE 3780000,3168.02656</v>
      </c>
    </row>
    <row r="130" spans="3:7" x14ac:dyDescent="0.3">
      <c r="C130" s="1"/>
      <c r="E130">
        <f t="shared" si="6"/>
        <v>3810</v>
      </c>
      <c r="F130">
        <f t="shared" si="4"/>
        <v>3189.3504600000088</v>
      </c>
      <c r="G130" t="str">
        <f t="shared" si="5"/>
        <v>SPLINE 3810000,3189.35046000001</v>
      </c>
    </row>
    <row r="131" spans="3:7" x14ac:dyDescent="0.3">
      <c r="E131">
        <f t="shared" si="6"/>
        <v>3840</v>
      </c>
      <c r="F131">
        <f t="shared" si="4"/>
        <v>3212.4953600000044</v>
      </c>
      <c r="G131" t="str">
        <f t="shared" si="5"/>
        <v>SPLINE 3840000,3212.49536</v>
      </c>
    </row>
    <row r="132" spans="3:7" x14ac:dyDescent="0.3">
      <c r="E132">
        <f t="shared" si="6"/>
        <v>3870</v>
      </c>
      <c r="F132">
        <f t="shared" ref="F132:F195" si="7">($C$3+$J$20*E132+$M$14*E132^2+$M$15*E132^3+$M$16*E132^4)</f>
        <v>3237.5488600000099</v>
      </c>
      <c r="G132" t="str">
        <f t="shared" ref="G132:G195" si="8">CONCATENATE("SPLINE ",$E132*1000,",",$F132)</f>
        <v>SPLINE 3870000,3237.54886000001</v>
      </c>
    </row>
    <row r="133" spans="3:7" x14ac:dyDescent="0.3">
      <c r="E133">
        <f t="shared" ref="E133:E196" si="9">E132+($D$3/200)</f>
        <v>3900</v>
      </c>
      <c r="F133">
        <f t="shared" si="7"/>
        <v>3264.6000000000058</v>
      </c>
      <c r="G133" t="str">
        <f t="shared" si="8"/>
        <v>SPLINE 3900000,3264.60000000001</v>
      </c>
    </row>
    <row r="134" spans="3:7" x14ac:dyDescent="0.3">
      <c r="E134">
        <f t="shared" si="9"/>
        <v>3930</v>
      </c>
      <c r="F134">
        <f t="shared" si="7"/>
        <v>3293.7392600000094</v>
      </c>
      <c r="G134" t="str">
        <f t="shared" si="8"/>
        <v>SPLINE 3930000,3293.73926000001</v>
      </c>
    </row>
    <row r="135" spans="3:7" x14ac:dyDescent="0.3">
      <c r="E135">
        <f t="shared" si="9"/>
        <v>3960</v>
      </c>
      <c r="F135">
        <f t="shared" si="7"/>
        <v>3325.0585600000086</v>
      </c>
      <c r="G135" t="str">
        <f t="shared" si="8"/>
        <v>SPLINE 3960000,3325.05856000001</v>
      </c>
    </row>
    <row r="136" spans="3:7" x14ac:dyDescent="0.3">
      <c r="E136">
        <f t="shared" si="9"/>
        <v>3990</v>
      </c>
      <c r="F136">
        <f t="shared" si="7"/>
        <v>3358.6512600000024</v>
      </c>
      <c r="G136" t="str">
        <f t="shared" si="8"/>
        <v>SPLINE 3990000,3358.65126</v>
      </c>
    </row>
    <row r="137" spans="3:7" x14ac:dyDescent="0.3">
      <c r="E137">
        <f t="shared" si="9"/>
        <v>4020</v>
      </c>
      <c r="F137">
        <f t="shared" si="7"/>
        <v>3394.6121600000115</v>
      </c>
      <c r="G137" t="str">
        <f t="shared" si="8"/>
        <v>SPLINE 4020000,3394.61216000001</v>
      </c>
    </row>
    <row r="138" spans="3:7" x14ac:dyDescent="0.3">
      <c r="E138">
        <f t="shared" si="9"/>
        <v>4050</v>
      </c>
      <c r="F138">
        <f t="shared" si="7"/>
        <v>3433.0375000000058</v>
      </c>
      <c r="G138" t="str">
        <f t="shared" si="8"/>
        <v>SPLINE 4050000,3433.03750000001</v>
      </c>
    </row>
    <row r="139" spans="3:7" x14ac:dyDescent="0.3">
      <c r="E139">
        <f t="shared" si="9"/>
        <v>4080</v>
      </c>
      <c r="F139">
        <f t="shared" si="7"/>
        <v>3474.0249600000061</v>
      </c>
      <c r="G139" t="str">
        <f t="shared" si="8"/>
        <v>SPLINE 4080000,3474.02496000001</v>
      </c>
    </row>
    <row r="140" spans="3:7" x14ac:dyDescent="0.3">
      <c r="E140">
        <f t="shared" si="9"/>
        <v>4110</v>
      </c>
      <c r="F140">
        <f t="shared" si="7"/>
        <v>3517.673660000004</v>
      </c>
      <c r="G140" t="str">
        <f t="shared" si="8"/>
        <v>SPLINE 4110000,3517.67366</v>
      </c>
    </row>
    <row r="141" spans="3:7" x14ac:dyDescent="0.3">
      <c r="E141">
        <f t="shared" si="9"/>
        <v>4140</v>
      </c>
      <c r="F141">
        <f t="shared" si="7"/>
        <v>3564.0841600000022</v>
      </c>
      <c r="G141" t="str">
        <f t="shared" si="8"/>
        <v>SPLINE 4140000,3564.08416</v>
      </c>
    </row>
    <row r="142" spans="3:7" x14ac:dyDescent="0.3">
      <c r="E142">
        <f t="shared" si="9"/>
        <v>4170</v>
      </c>
      <c r="F142">
        <f t="shared" si="7"/>
        <v>3613.3584600000067</v>
      </c>
      <c r="G142" t="str">
        <f t="shared" si="8"/>
        <v>SPLINE 4170000,3613.35846000001</v>
      </c>
    </row>
    <row r="143" spans="3:7" x14ac:dyDescent="0.3">
      <c r="E143">
        <f t="shared" si="9"/>
        <v>4200</v>
      </c>
      <c r="F143">
        <f t="shared" si="7"/>
        <v>3665.6000000000058</v>
      </c>
      <c r="G143" t="str">
        <f t="shared" si="8"/>
        <v>SPLINE 4200000,3665.60000000001</v>
      </c>
    </row>
    <row r="144" spans="3:7" x14ac:dyDescent="0.3">
      <c r="E144">
        <f t="shared" si="9"/>
        <v>4230</v>
      </c>
      <c r="F144">
        <f t="shared" si="7"/>
        <v>3720.9136600000093</v>
      </c>
      <c r="G144" t="str">
        <f t="shared" si="8"/>
        <v>SPLINE 4230000,3720.91366000001</v>
      </c>
    </row>
    <row r="145" spans="5:7" x14ac:dyDescent="0.3">
      <c r="E145">
        <f t="shared" si="9"/>
        <v>4260</v>
      </c>
      <c r="F145">
        <f t="shared" si="7"/>
        <v>3779.4057600000051</v>
      </c>
      <c r="G145" t="str">
        <f t="shared" si="8"/>
        <v>SPLINE 4260000,3779.40576000001</v>
      </c>
    </row>
    <row r="146" spans="5:7" x14ac:dyDescent="0.3">
      <c r="E146">
        <f t="shared" si="9"/>
        <v>4290</v>
      </c>
      <c r="F146">
        <f t="shared" si="7"/>
        <v>3841.1840600000069</v>
      </c>
      <c r="G146" t="str">
        <f t="shared" si="8"/>
        <v>SPLINE 4290000,3841.18406000001</v>
      </c>
    </row>
    <row r="147" spans="5:7" x14ac:dyDescent="0.3">
      <c r="E147">
        <f t="shared" si="9"/>
        <v>4320</v>
      </c>
      <c r="F147">
        <f t="shared" si="7"/>
        <v>3906.3577600000099</v>
      </c>
      <c r="G147" t="str">
        <f t="shared" si="8"/>
        <v>SPLINE 4320000,3906.35776000001</v>
      </c>
    </row>
    <row r="148" spans="5:7" x14ac:dyDescent="0.3">
      <c r="E148">
        <f t="shared" si="9"/>
        <v>4350</v>
      </c>
      <c r="F148">
        <f t="shared" si="7"/>
        <v>3975.0375000000058</v>
      </c>
      <c r="G148" t="str">
        <f t="shared" si="8"/>
        <v>SPLINE 4350000,3975.03750000001</v>
      </c>
    </row>
    <row r="149" spans="5:7" x14ac:dyDescent="0.3">
      <c r="E149">
        <f t="shared" si="9"/>
        <v>4380</v>
      </c>
      <c r="F149">
        <f t="shared" si="7"/>
        <v>4047.3353600000082</v>
      </c>
      <c r="G149" t="str">
        <f t="shared" si="8"/>
        <v>SPLINE 4380000,4047.33536000001</v>
      </c>
    </row>
    <row r="150" spans="5:7" x14ac:dyDescent="0.3">
      <c r="E150">
        <f t="shared" si="9"/>
        <v>4410</v>
      </c>
      <c r="F150">
        <f t="shared" si="7"/>
        <v>4123.3648600000051</v>
      </c>
      <c r="G150" t="str">
        <f t="shared" si="8"/>
        <v>SPLINE 4410000,4123.36486000001</v>
      </c>
    </row>
    <row r="151" spans="5:7" x14ac:dyDescent="0.3">
      <c r="E151">
        <f t="shared" si="9"/>
        <v>4440</v>
      </c>
      <c r="F151">
        <f t="shared" si="7"/>
        <v>4203.2409600000065</v>
      </c>
      <c r="G151" t="str">
        <f t="shared" si="8"/>
        <v>SPLINE 4440000,4203.24096000001</v>
      </c>
    </row>
    <row r="152" spans="5:7" x14ac:dyDescent="0.3">
      <c r="E152">
        <f t="shared" si="9"/>
        <v>4470</v>
      </c>
      <c r="F152">
        <f t="shared" si="7"/>
        <v>4287.0800600000075</v>
      </c>
      <c r="G152" t="str">
        <f t="shared" si="8"/>
        <v>SPLINE 4470000,4287.08006000001</v>
      </c>
    </row>
    <row r="153" spans="5:7" x14ac:dyDescent="0.3">
      <c r="E153">
        <f t="shared" si="9"/>
        <v>4500</v>
      </c>
      <c r="F153">
        <f t="shared" si="7"/>
        <v>4375.0000000000073</v>
      </c>
      <c r="G153" t="str">
        <f t="shared" si="8"/>
        <v>SPLINE 4500000,4375.00000000001</v>
      </c>
    </row>
    <row r="154" spans="5:7" x14ac:dyDescent="0.3">
      <c r="E154">
        <f t="shared" si="9"/>
        <v>4530</v>
      </c>
      <c r="F154">
        <f t="shared" si="7"/>
        <v>4467.1200600000084</v>
      </c>
      <c r="G154" t="str">
        <f t="shared" si="8"/>
        <v>SPLINE 4530000,4467.12006000001</v>
      </c>
    </row>
    <row r="155" spans="5:7" x14ac:dyDescent="0.3">
      <c r="E155">
        <f t="shared" si="9"/>
        <v>4560</v>
      </c>
      <c r="F155">
        <f t="shared" si="7"/>
        <v>4563.5609600000062</v>
      </c>
      <c r="G155" t="str">
        <f t="shared" si="8"/>
        <v>SPLINE 4560000,4563.56096000001</v>
      </c>
    </row>
    <row r="156" spans="5:7" x14ac:dyDescent="0.3">
      <c r="E156">
        <f t="shared" si="9"/>
        <v>4590</v>
      </c>
      <c r="F156">
        <f t="shared" si="7"/>
        <v>4664.4448600000105</v>
      </c>
      <c r="G156" t="str">
        <f t="shared" si="8"/>
        <v>SPLINE 4590000,4664.44486000001</v>
      </c>
    </row>
    <row r="157" spans="5:7" x14ac:dyDescent="0.3">
      <c r="E157">
        <f t="shared" si="9"/>
        <v>4620</v>
      </c>
      <c r="F157">
        <f t="shared" si="7"/>
        <v>4769.8953600000095</v>
      </c>
      <c r="G157" t="str">
        <f t="shared" si="8"/>
        <v>SPLINE 4620000,4769.89536000001</v>
      </c>
    </row>
    <row r="158" spans="5:7" x14ac:dyDescent="0.3">
      <c r="E158">
        <f t="shared" si="9"/>
        <v>4650</v>
      </c>
      <c r="F158">
        <f t="shared" si="7"/>
        <v>4880.0375000000095</v>
      </c>
      <c r="G158" t="str">
        <f t="shared" si="8"/>
        <v>SPLINE 4650000,4880.03750000001</v>
      </c>
    </row>
    <row r="159" spans="5:7" x14ac:dyDescent="0.3">
      <c r="E159">
        <f t="shared" si="9"/>
        <v>4680</v>
      </c>
      <c r="F159">
        <f t="shared" si="7"/>
        <v>4994.9977600000129</v>
      </c>
      <c r="G159" t="str">
        <f t="shared" si="8"/>
        <v>SPLINE 4680000,4994.99776000001</v>
      </c>
    </row>
    <row r="160" spans="5:7" x14ac:dyDescent="0.3">
      <c r="E160">
        <f t="shared" si="9"/>
        <v>4710</v>
      </c>
      <c r="F160">
        <f t="shared" si="7"/>
        <v>5114.904060000008</v>
      </c>
      <c r="G160" t="str">
        <f t="shared" si="8"/>
        <v>SPLINE 4710000,5114.90406000001</v>
      </c>
    </row>
    <row r="161" spans="5:7" x14ac:dyDescent="0.3">
      <c r="E161">
        <f t="shared" si="9"/>
        <v>4740</v>
      </c>
      <c r="F161">
        <f t="shared" si="7"/>
        <v>5239.8857600000119</v>
      </c>
      <c r="G161" t="str">
        <f t="shared" si="8"/>
        <v>SPLINE 4740000,5239.88576000001</v>
      </c>
    </row>
    <row r="162" spans="5:7" x14ac:dyDescent="0.3">
      <c r="E162">
        <f t="shared" si="9"/>
        <v>4770</v>
      </c>
      <c r="F162">
        <f t="shared" si="7"/>
        <v>5370.0736600000091</v>
      </c>
      <c r="G162" t="str">
        <f t="shared" si="8"/>
        <v>SPLINE 4770000,5370.07366000001</v>
      </c>
    </row>
    <row r="163" spans="5:7" x14ac:dyDescent="0.3">
      <c r="E163">
        <f t="shared" si="9"/>
        <v>4800</v>
      </c>
      <c r="F163">
        <f t="shared" si="7"/>
        <v>5505.6000000000058</v>
      </c>
      <c r="G163" t="str">
        <f t="shared" si="8"/>
        <v>SPLINE 4800000,5505.60000000001</v>
      </c>
    </row>
    <row r="164" spans="5:7" x14ac:dyDescent="0.3">
      <c r="E164">
        <f t="shared" si="9"/>
        <v>4830</v>
      </c>
      <c r="F164">
        <f t="shared" si="7"/>
        <v>5646.5984600000083</v>
      </c>
      <c r="G164" t="str">
        <f t="shared" si="8"/>
        <v>SPLINE 4830000,5646.59846</v>
      </c>
    </row>
    <row r="165" spans="5:7" x14ac:dyDescent="0.3">
      <c r="E165">
        <f t="shared" si="9"/>
        <v>4860</v>
      </c>
      <c r="F165">
        <f t="shared" si="7"/>
        <v>5793.2041600000011</v>
      </c>
      <c r="G165" t="str">
        <f t="shared" si="8"/>
        <v>SPLINE 4860000,5793.20416</v>
      </c>
    </row>
    <row r="166" spans="5:7" x14ac:dyDescent="0.3">
      <c r="E166">
        <f t="shared" si="9"/>
        <v>4890</v>
      </c>
      <c r="F166">
        <f t="shared" si="7"/>
        <v>5945.553660000005</v>
      </c>
      <c r="G166" t="str">
        <f t="shared" si="8"/>
        <v>SPLINE 4890000,5945.55366000001</v>
      </c>
    </row>
    <row r="167" spans="5:7" x14ac:dyDescent="0.3">
      <c r="E167">
        <f t="shared" si="9"/>
        <v>4920</v>
      </c>
      <c r="F167">
        <f t="shared" si="7"/>
        <v>6103.7849600000191</v>
      </c>
      <c r="G167" t="str">
        <f t="shared" si="8"/>
        <v>SPLINE 4920000,6103.78496000002</v>
      </c>
    </row>
    <row r="168" spans="5:7" x14ac:dyDescent="0.3">
      <c r="E168">
        <f t="shared" si="9"/>
        <v>4950</v>
      </c>
      <c r="F168">
        <f t="shared" si="7"/>
        <v>6268.0375000000058</v>
      </c>
      <c r="G168" t="str">
        <f t="shared" si="8"/>
        <v>SPLINE 4950000,6268.03750000001</v>
      </c>
    </row>
    <row r="169" spans="5:7" x14ac:dyDescent="0.3">
      <c r="E169">
        <f t="shared" si="9"/>
        <v>4980</v>
      </c>
      <c r="F169">
        <f t="shared" si="7"/>
        <v>6438.452160000008</v>
      </c>
      <c r="G169" t="str">
        <f t="shared" si="8"/>
        <v>SPLINE 4980000,6438.45216000001</v>
      </c>
    </row>
    <row r="170" spans="5:7" x14ac:dyDescent="0.3">
      <c r="E170">
        <f t="shared" si="9"/>
        <v>5010</v>
      </c>
      <c r="F170">
        <f t="shared" si="7"/>
        <v>6615.1712600000101</v>
      </c>
      <c r="G170" t="str">
        <f t="shared" si="8"/>
        <v>SPLINE 5010000,6615.17126000001</v>
      </c>
    </row>
    <row r="171" spans="5:7" x14ac:dyDescent="0.3">
      <c r="E171">
        <f t="shared" si="9"/>
        <v>5040</v>
      </c>
      <c r="F171">
        <f t="shared" si="7"/>
        <v>6798.3385600000183</v>
      </c>
      <c r="G171" t="str">
        <f t="shared" si="8"/>
        <v>SPLINE 5040000,6798.33856000002</v>
      </c>
    </row>
    <row r="172" spans="5:7" x14ac:dyDescent="0.3">
      <c r="E172">
        <f t="shared" si="9"/>
        <v>5070</v>
      </c>
      <c r="F172">
        <f t="shared" si="7"/>
        <v>6988.09926000001</v>
      </c>
      <c r="G172" t="str">
        <f t="shared" si="8"/>
        <v>SPLINE 5070000,6988.09926000001</v>
      </c>
    </row>
    <row r="173" spans="5:7" x14ac:dyDescent="0.3">
      <c r="E173">
        <f t="shared" si="9"/>
        <v>5100</v>
      </c>
      <c r="F173">
        <f t="shared" si="7"/>
        <v>7184.6000000000131</v>
      </c>
      <c r="G173" t="str">
        <f t="shared" si="8"/>
        <v>SPLINE 5100000,7184.60000000001</v>
      </c>
    </row>
    <row r="174" spans="5:7" x14ac:dyDescent="0.3">
      <c r="E174">
        <f t="shared" si="9"/>
        <v>5130</v>
      </c>
      <c r="F174">
        <f t="shared" si="7"/>
        <v>7387.9888600000049</v>
      </c>
      <c r="G174" t="str">
        <f t="shared" si="8"/>
        <v>SPLINE 5130000,7387.98886</v>
      </c>
    </row>
    <row r="175" spans="5:7" x14ac:dyDescent="0.3">
      <c r="E175">
        <f t="shared" si="9"/>
        <v>5160</v>
      </c>
      <c r="F175">
        <f t="shared" si="7"/>
        <v>7598.4153600000063</v>
      </c>
      <c r="G175" t="str">
        <f t="shared" si="8"/>
        <v>SPLINE 5160000,7598.41536000001</v>
      </c>
    </row>
    <row r="176" spans="5:7" x14ac:dyDescent="0.3">
      <c r="E176">
        <f t="shared" si="9"/>
        <v>5190</v>
      </c>
      <c r="F176">
        <f t="shared" si="7"/>
        <v>7816.0304600000163</v>
      </c>
      <c r="G176" t="str">
        <f t="shared" si="8"/>
        <v>SPLINE 5190000,7816.03046000002</v>
      </c>
    </row>
    <row r="177" spans="5:7" x14ac:dyDescent="0.3">
      <c r="E177">
        <f t="shared" si="9"/>
        <v>5220</v>
      </c>
      <c r="F177">
        <f t="shared" si="7"/>
        <v>8040.9865600000048</v>
      </c>
      <c r="G177" t="str">
        <f t="shared" si="8"/>
        <v>SPLINE 5220000,8040.98656</v>
      </c>
    </row>
    <row r="178" spans="5:7" x14ac:dyDescent="0.3">
      <c r="E178">
        <f t="shared" si="9"/>
        <v>5250</v>
      </c>
      <c r="F178">
        <f t="shared" si="7"/>
        <v>8273.4375000000146</v>
      </c>
      <c r="G178" t="str">
        <f t="shared" si="8"/>
        <v>SPLINE 5250000,8273.43750000001</v>
      </c>
    </row>
    <row r="179" spans="5:7" x14ac:dyDescent="0.3">
      <c r="E179">
        <f t="shared" si="9"/>
        <v>5280</v>
      </c>
      <c r="F179">
        <f t="shared" si="7"/>
        <v>8513.5385600000154</v>
      </c>
      <c r="G179" t="str">
        <f t="shared" si="8"/>
        <v>SPLINE 5280000,8513.53856000001</v>
      </c>
    </row>
    <row r="180" spans="5:7" x14ac:dyDescent="0.3">
      <c r="E180">
        <f t="shared" si="9"/>
        <v>5310</v>
      </c>
      <c r="F180">
        <f t="shared" si="7"/>
        <v>8761.4464600000065</v>
      </c>
      <c r="G180" t="str">
        <f t="shared" si="8"/>
        <v>SPLINE 5310000,8761.44646</v>
      </c>
    </row>
    <row r="181" spans="5:7" x14ac:dyDescent="0.3">
      <c r="E181">
        <f t="shared" si="9"/>
        <v>5340</v>
      </c>
      <c r="F181">
        <f t="shared" si="7"/>
        <v>9017.3193600000159</v>
      </c>
      <c r="G181" t="str">
        <f t="shared" si="8"/>
        <v>SPLINE 5340000,9017.31936000002</v>
      </c>
    </row>
    <row r="182" spans="5:7" x14ac:dyDescent="0.3">
      <c r="E182">
        <f t="shared" si="9"/>
        <v>5370</v>
      </c>
      <c r="F182">
        <f t="shared" si="7"/>
        <v>9281.3168600000135</v>
      </c>
      <c r="G182" t="str">
        <f t="shared" si="8"/>
        <v>SPLINE 5370000,9281.31686000001</v>
      </c>
    </row>
    <row r="183" spans="5:7" x14ac:dyDescent="0.3">
      <c r="E183">
        <f t="shared" si="9"/>
        <v>5400</v>
      </c>
      <c r="F183">
        <f t="shared" si="7"/>
        <v>9553.6000000000131</v>
      </c>
      <c r="G183" t="str">
        <f t="shared" si="8"/>
        <v>SPLINE 5400000,9553.60000000001</v>
      </c>
    </row>
    <row r="184" spans="5:7" x14ac:dyDescent="0.3">
      <c r="E184">
        <f t="shared" si="9"/>
        <v>5430</v>
      </c>
      <c r="F184">
        <f t="shared" si="7"/>
        <v>9834.3312600000136</v>
      </c>
      <c r="G184" t="str">
        <f t="shared" si="8"/>
        <v>SPLINE 5430000,9834.33126000001</v>
      </c>
    </row>
    <row r="185" spans="5:7" x14ac:dyDescent="0.3">
      <c r="E185">
        <f t="shared" si="9"/>
        <v>5460</v>
      </c>
      <c r="F185">
        <f t="shared" si="7"/>
        <v>10123.674560000014</v>
      </c>
      <c r="G185" t="str">
        <f t="shared" si="8"/>
        <v>SPLINE 5460000,10123.67456</v>
      </c>
    </row>
    <row r="186" spans="5:7" x14ac:dyDescent="0.3">
      <c r="E186">
        <f t="shared" si="9"/>
        <v>5490</v>
      </c>
      <c r="F186">
        <f t="shared" si="7"/>
        <v>10421.795260000014</v>
      </c>
      <c r="G186" t="str">
        <f t="shared" si="8"/>
        <v>SPLINE 5490000,10421.79526</v>
      </c>
    </row>
    <row r="187" spans="5:7" x14ac:dyDescent="0.3">
      <c r="E187">
        <f t="shared" si="9"/>
        <v>5520</v>
      </c>
      <c r="F187">
        <f t="shared" si="7"/>
        <v>10728.860160000018</v>
      </c>
      <c r="G187" t="str">
        <f t="shared" si="8"/>
        <v>SPLINE 5520000,10728.86016</v>
      </c>
    </row>
    <row r="188" spans="5:7" x14ac:dyDescent="0.3">
      <c r="E188">
        <f t="shared" si="9"/>
        <v>5550</v>
      </c>
      <c r="F188">
        <f t="shared" si="7"/>
        <v>11045.037500000013</v>
      </c>
      <c r="G188" t="str">
        <f t="shared" si="8"/>
        <v>SPLINE 5550000,11045.0375</v>
      </c>
    </row>
    <row r="189" spans="5:7" x14ac:dyDescent="0.3">
      <c r="E189">
        <f t="shared" si="9"/>
        <v>5580</v>
      </c>
      <c r="F189">
        <f t="shared" si="7"/>
        <v>11370.496960000011</v>
      </c>
      <c r="G189" t="str">
        <f t="shared" si="8"/>
        <v>SPLINE 5580000,11370.49696</v>
      </c>
    </row>
    <row r="190" spans="5:7" x14ac:dyDescent="0.3">
      <c r="E190">
        <f t="shared" si="9"/>
        <v>5610</v>
      </c>
      <c r="F190">
        <f t="shared" si="7"/>
        <v>11705.409660000019</v>
      </c>
      <c r="G190" t="str">
        <f t="shared" si="8"/>
        <v>SPLINE 5610000,11705.40966</v>
      </c>
    </row>
    <row r="191" spans="5:7" x14ac:dyDescent="0.3">
      <c r="E191">
        <f t="shared" si="9"/>
        <v>5640</v>
      </c>
      <c r="F191">
        <f t="shared" si="7"/>
        <v>12049.948160000014</v>
      </c>
      <c r="G191" t="str">
        <f t="shared" si="8"/>
        <v>SPLINE 5640000,12049.94816</v>
      </c>
    </row>
    <row r="192" spans="5:7" x14ac:dyDescent="0.3">
      <c r="E192">
        <f t="shared" si="9"/>
        <v>5670</v>
      </c>
      <c r="F192">
        <f t="shared" si="7"/>
        <v>12404.28646000001</v>
      </c>
      <c r="G192" t="str">
        <f t="shared" si="8"/>
        <v>SPLINE 5670000,12404.28646</v>
      </c>
    </row>
    <row r="193" spans="5:7" x14ac:dyDescent="0.3">
      <c r="E193">
        <f t="shared" si="9"/>
        <v>5700</v>
      </c>
      <c r="F193">
        <f t="shared" si="7"/>
        <v>12768.600000000013</v>
      </c>
      <c r="G193" t="str">
        <f t="shared" si="8"/>
        <v>SPLINE 5700000,12768.6</v>
      </c>
    </row>
    <row r="194" spans="5:7" x14ac:dyDescent="0.3">
      <c r="E194">
        <f t="shared" si="9"/>
        <v>5730</v>
      </c>
      <c r="F194">
        <f t="shared" si="7"/>
        <v>13143.065660000007</v>
      </c>
      <c r="G194" t="str">
        <f t="shared" si="8"/>
        <v>SPLINE 5730000,13143.06566</v>
      </c>
    </row>
    <row r="195" spans="5:7" x14ac:dyDescent="0.3">
      <c r="E195">
        <f t="shared" si="9"/>
        <v>5760</v>
      </c>
      <c r="F195">
        <f t="shared" si="7"/>
        <v>13527.861760000014</v>
      </c>
      <c r="G195" t="str">
        <f t="shared" si="8"/>
        <v>SPLINE 5760000,13527.86176</v>
      </c>
    </row>
    <row r="196" spans="5:7" x14ac:dyDescent="0.3">
      <c r="E196">
        <f t="shared" si="9"/>
        <v>5790</v>
      </c>
      <c r="F196">
        <f t="shared" ref="F196:F203" si="10">($C$3+$J$20*E196+$M$14*E196^2+$M$15*E196^3+$M$16*E196^4)</f>
        <v>13923.168060000011</v>
      </c>
      <c r="G196" t="str">
        <f t="shared" ref="G196:G203" si="11">CONCATENATE("SPLINE ",$E196*1000,",",$F196)</f>
        <v>SPLINE 5790000,13923.16806</v>
      </c>
    </row>
    <row r="197" spans="5:7" x14ac:dyDescent="0.3">
      <c r="E197">
        <f t="shared" ref="E197:E203" si="12">E196+($D$3/200)</f>
        <v>5820</v>
      </c>
      <c r="F197">
        <f t="shared" si="10"/>
        <v>14329.165760000018</v>
      </c>
      <c r="G197" t="str">
        <f t="shared" si="11"/>
        <v>SPLINE 5820000,14329.16576</v>
      </c>
    </row>
    <row r="198" spans="5:7" x14ac:dyDescent="0.3">
      <c r="E198">
        <f t="shared" si="12"/>
        <v>5850</v>
      </c>
      <c r="F198">
        <f t="shared" si="10"/>
        <v>14746.037500000006</v>
      </c>
      <c r="G198" t="str">
        <f t="shared" si="11"/>
        <v>SPLINE 5850000,14746.0375</v>
      </c>
    </row>
    <row r="199" spans="5:7" x14ac:dyDescent="0.3">
      <c r="E199">
        <f t="shared" si="12"/>
        <v>5880</v>
      </c>
      <c r="F199">
        <f t="shared" si="10"/>
        <v>15173.967360000024</v>
      </c>
      <c r="G199" t="str">
        <f t="shared" si="11"/>
        <v>SPLINE 5880000,15173.96736</v>
      </c>
    </row>
    <row r="200" spans="5:7" x14ac:dyDescent="0.3">
      <c r="E200">
        <f t="shared" si="12"/>
        <v>5910</v>
      </c>
      <c r="F200">
        <f t="shared" si="10"/>
        <v>15613.140860000029</v>
      </c>
      <c r="G200" t="str">
        <f t="shared" si="11"/>
        <v>SPLINE 5910000,15613.14086</v>
      </c>
    </row>
    <row r="201" spans="5:7" x14ac:dyDescent="0.3">
      <c r="E201">
        <f t="shared" si="12"/>
        <v>5940</v>
      </c>
      <c r="F201">
        <f t="shared" si="10"/>
        <v>16063.744960000011</v>
      </c>
      <c r="G201" t="str">
        <f t="shared" si="11"/>
        <v>SPLINE 5940000,16063.74496</v>
      </c>
    </row>
    <row r="202" spans="5:7" x14ac:dyDescent="0.3">
      <c r="E202">
        <f t="shared" si="12"/>
        <v>5970</v>
      </c>
      <c r="F202">
        <f t="shared" si="10"/>
        <v>16525.968060000028</v>
      </c>
      <c r="G202" t="str">
        <f t="shared" si="11"/>
        <v>SPLINE 5970000,16525.96806</v>
      </c>
    </row>
    <row r="203" spans="5:7" x14ac:dyDescent="0.3">
      <c r="E203">
        <f t="shared" si="12"/>
        <v>6000</v>
      </c>
      <c r="F203">
        <f t="shared" si="10"/>
        <v>17000.000000000015</v>
      </c>
      <c r="G203" t="str">
        <f t="shared" si="11"/>
        <v>SPLINE 6000000,17000</v>
      </c>
    </row>
  </sheetData>
  <sheetProtection algorithmName="SHA-512" hashValue="FNBf74+g4JnkDkPuqM45n8zf62bDnfcLL1JOsJRkQ8u4WfAKDr/ngUfu/BE28jUpfUd9nzaFniVWANJ7nClqoA==" saltValue="Jy/2smoeNIv4rHBy5hK3Jw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F66-D9E2-42CC-9DC0-58EBF89BEFF3}">
  <sheetPr codeName="Sheet8"/>
  <dimension ref="A1:J203"/>
  <sheetViews>
    <sheetView zoomScale="115" zoomScaleNormal="115" workbookViewId="0">
      <selection activeCell="F2" sqref="A2:F2"/>
    </sheetView>
  </sheetViews>
  <sheetFormatPr defaultRowHeight="16.5" customHeight="1" zeroHeight="1" x14ac:dyDescent="0.3"/>
  <cols>
    <col min="2" max="2" width="14" bestFit="1" customWidth="1"/>
    <col min="6" max="6" width="9" customWidth="1"/>
    <col min="7" max="7" width="29.625" bestFit="1" customWidth="1"/>
    <col min="8" max="18" width="8.25" customWidth="1"/>
  </cols>
  <sheetData>
    <row r="1" spans="1:9" x14ac:dyDescent="0.3">
      <c r="A1" s="2" t="s">
        <v>36</v>
      </c>
    </row>
    <row r="2" spans="1:9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  <c r="H2" t="s">
        <v>39</v>
      </c>
      <c r="I2" s="10" t="s">
        <v>40</v>
      </c>
    </row>
    <row r="3" spans="1:9" x14ac:dyDescent="0.3">
      <c r="A3">
        <f>'Contour Design'!A3</f>
        <v>0</v>
      </c>
      <c r="B3">
        <f>'Contour Design'!B3</f>
        <v>3000</v>
      </c>
      <c r="C3">
        <f>'Contour Design'!C3</f>
        <v>1000</v>
      </c>
      <c r="D3">
        <f>'Contour Design'!D3</f>
        <v>6000</v>
      </c>
      <c r="E3">
        <v>0</v>
      </c>
      <c r="F3">
        <f>((-10*(H3^3)+15*(H3^4)-6*(H3^5))*($B$3-$C$3))+$B$3</f>
        <v>3000</v>
      </c>
      <c r="G3" t="str">
        <f>CONCATENATE("SPLINE ",$E3,",",$F3)</f>
        <v>SPLINE 0,3000</v>
      </c>
      <c r="H3">
        <f>E3/$D$3</f>
        <v>0</v>
      </c>
    </row>
    <row r="4" spans="1:9" x14ac:dyDescent="0.3">
      <c r="E4">
        <f>E3+($D$3/200)</f>
        <v>30</v>
      </c>
      <c r="F4">
        <f t="shared" ref="F4:F67" si="0">((-10*(H4^3)+15*(H4^4)-6*(H4^5))*($B$3-$C$3))+$B$3</f>
        <v>2999.9975187125001</v>
      </c>
      <c r="G4" t="str">
        <f t="shared" ref="G4:G67" si="1">CONCATENATE("SPLINE ",$E4,",",$F4)</f>
        <v>SPLINE 30,2999.9975187125</v>
      </c>
      <c r="H4">
        <f t="shared" ref="H4:H67" si="2">E4/$D$3</f>
        <v>5.0000000000000001E-3</v>
      </c>
    </row>
    <row r="5" spans="1:9" x14ac:dyDescent="0.3">
      <c r="E5">
        <f t="shared" ref="E5:E68" si="3">E4+($D$3/200)</f>
        <v>60</v>
      </c>
      <c r="F5">
        <f t="shared" si="0"/>
        <v>2999.9802988000001</v>
      </c>
      <c r="G5" t="str">
        <f t="shared" si="1"/>
        <v>SPLINE 60,2999.9802988</v>
      </c>
      <c r="H5">
        <f t="shared" si="2"/>
        <v>0.01</v>
      </c>
    </row>
    <row r="6" spans="1:9" x14ac:dyDescent="0.3">
      <c r="E6">
        <f t="shared" si="3"/>
        <v>90</v>
      </c>
      <c r="F6">
        <f t="shared" si="0"/>
        <v>2999.9340096374999</v>
      </c>
      <c r="G6" t="str">
        <f t="shared" si="1"/>
        <v>SPLINE 90,2999.9340096375</v>
      </c>
      <c r="H6">
        <f t="shared" si="2"/>
        <v>1.4999999999999999E-2</v>
      </c>
    </row>
    <row r="7" spans="1:9" x14ac:dyDescent="0.3">
      <c r="E7">
        <f t="shared" si="3"/>
        <v>120</v>
      </c>
      <c r="F7">
        <f t="shared" si="0"/>
        <v>2999.8447615999999</v>
      </c>
      <c r="G7" t="str">
        <f t="shared" si="1"/>
        <v>SPLINE 120,2999.8447616</v>
      </c>
      <c r="H7">
        <f t="shared" si="2"/>
        <v>0.02</v>
      </c>
    </row>
    <row r="8" spans="1:9" x14ac:dyDescent="0.3">
      <c r="E8">
        <f t="shared" si="3"/>
        <v>150</v>
      </c>
      <c r="F8">
        <f t="shared" si="0"/>
        <v>2999.6991015624999</v>
      </c>
      <c r="G8" t="str">
        <f t="shared" si="1"/>
        <v>SPLINE 150,2999.6991015625</v>
      </c>
      <c r="H8">
        <f t="shared" si="2"/>
        <v>2.5000000000000001E-2</v>
      </c>
    </row>
    <row r="9" spans="1:9" x14ac:dyDescent="0.3">
      <c r="E9">
        <f t="shared" si="3"/>
        <v>180</v>
      </c>
      <c r="F9">
        <f t="shared" si="0"/>
        <v>2999.4840084000002</v>
      </c>
      <c r="G9" t="str">
        <f t="shared" si="1"/>
        <v>SPLINE 180,2999.4840084</v>
      </c>
      <c r="H9">
        <f t="shared" si="2"/>
        <v>0.03</v>
      </c>
    </row>
    <row r="10" spans="1:9" x14ac:dyDescent="0.3">
      <c r="E10">
        <f t="shared" si="3"/>
        <v>210</v>
      </c>
      <c r="F10">
        <f t="shared" si="0"/>
        <v>2999.1868884874998</v>
      </c>
      <c r="G10" t="str">
        <f t="shared" si="1"/>
        <v>SPLINE 210,2999.1868884875</v>
      </c>
      <c r="H10">
        <f t="shared" si="2"/>
        <v>3.5000000000000003E-2</v>
      </c>
    </row>
    <row r="11" spans="1:9" x14ac:dyDescent="0.3">
      <c r="E11">
        <f t="shared" si="3"/>
        <v>240</v>
      </c>
      <c r="F11">
        <f t="shared" si="0"/>
        <v>2998.7955711999998</v>
      </c>
      <c r="G11" t="str">
        <f t="shared" si="1"/>
        <v>SPLINE 240,2998.7955712</v>
      </c>
      <c r="H11">
        <f t="shared" si="2"/>
        <v>0.04</v>
      </c>
    </row>
    <row r="12" spans="1:9" x14ac:dyDescent="0.3">
      <c r="E12">
        <f t="shared" si="3"/>
        <v>270</v>
      </c>
      <c r="F12">
        <f t="shared" si="0"/>
        <v>2998.2983044124999</v>
      </c>
      <c r="G12" t="str">
        <f t="shared" si="1"/>
        <v>SPLINE 270,2998.2983044125</v>
      </c>
      <c r="H12">
        <f t="shared" si="2"/>
        <v>4.4999999999999998E-2</v>
      </c>
    </row>
    <row r="13" spans="1:9" x14ac:dyDescent="0.3">
      <c r="E13">
        <f t="shared" si="3"/>
        <v>300</v>
      </c>
      <c r="F13">
        <f t="shared" si="0"/>
        <v>2997.6837500000001</v>
      </c>
      <c r="G13" t="str">
        <f t="shared" si="1"/>
        <v>SPLINE 300,2997.68375</v>
      </c>
      <c r="H13">
        <f t="shared" si="2"/>
        <v>0.05</v>
      </c>
    </row>
    <row r="14" spans="1:9" x14ac:dyDescent="0.3">
      <c r="E14">
        <f t="shared" si="3"/>
        <v>330</v>
      </c>
      <c r="F14">
        <f t="shared" si="0"/>
        <v>2996.9409793374998</v>
      </c>
      <c r="G14" t="str">
        <f t="shared" si="1"/>
        <v>SPLINE 330,2996.9409793375</v>
      </c>
      <c r="H14">
        <f t="shared" si="2"/>
        <v>5.5E-2</v>
      </c>
    </row>
    <row r="15" spans="1:9" x14ac:dyDescent="0.3">
      <c r="E15">
        <f t="shared" si="3"/>
        <v>360</v>
      </c>
      <c r="F15">
        <f t="shared" si="0"/>
        <v>2996.0594688000001</v>
      </c>
      <c r="G15" t="str">
        <f t="shared" si="1"/>
        <v>SPLINE 360,2996.0594688</v>
      </c>
      <c r="H15">
        <f t="shared" si="2"/>
        <v>0.06</v>
      </c>
    </row>
    <row r="16" spans="1:9" x14ac:dyDescent="0.3">
      <c r="E16">
        <f t="shared" si="3"/>
        <v>390</v>
      </c>
      <c r="F16">
        <f t="shared" si="0"/>
        <v>2995.0290952625001</v>
      </c>
      <c r="G16" t="str">
        <f t="shared" si="1"/>
        <v>SPLINE 390,2995.0290952625</v>
      </c>
      <c r="H16">
        <f t="shared" si="2"/>
        <v>6.5000000000000002E-2</v>
      </c>
    </row>
    <row r="17" spans="5:10" x14ac:dyDescent="0.3">
      <c r="E17">
        <f t="shared" si="3"/>
        <v>420</v>
      </c>
      <c r="F17">
        <f t="shared" si="0"/>
        <v>2993.8401315999999</v>
      </c>
      <c r="G17" t="str">
        <f t="shared" si="1"/>
        <v>SPLINE 420,2993.8401316</v>
      </c>
      <c r="H17">
        <f t="shared" si="2"/>
        <v>7.0000000000000007E-2</v>
      </c>
      <c r="I17" s="9"/>
      <c r="J17" s="9"/>
    </row>
    <row r="18" spans="5:10" x14ac:dyDescent="0.3">
      <c r="E18">
        <f t="shared" si="3"/>
        <v>450</v>
      </c>
      <c r="F18">
        <f t="shared" si="0"/>
        <v>2992.4832421874999</v>
      </c>
      <c r="G18" t="str">
        <f t="shared" si="1"/>
        <v>SPLINE 450,2992.4832421875</v>
      </c>
      <c r="H18">
        <f t="shared" si="2"/>
        <v>7.4999999999999997E-2</v>
      </c>
      <c r="I18" s="9"/>
      <c r="J18" s="9"/>
    </row>
    <row r="19" spans="5:10" x14ac:dyDescent="0.3">
      <c r="E19">
        <f t="shared" si="3"/>
        <v>480</v>
      </c>
      <c r="F19">
        <f t="shared" si="0"/>
        <v>2990.9494783999999</v>
      </c>
      <c r="G19" t="str">
        <f t="shared" si="1"/>
        <v>SPLINE 480,2990.9494784</v>
      </c>
      <c r="H19">
        <f t="shared" si="2"/>
        <v>0.08</v>
      </c>
      <c r="I19" s="9"/>
      <c r="J19" s="9"/>
    </row>
    <row r="20" spans="5:10" x14ac:dyDescent="0.3">
      <c r="E20">
        <f t="shared" si="3"/>
        <v>510</v>
      </c>
      <c r="F20">
        <f t="shared" si="0"/>
        <v>2989.2302741125</v>
      </c>
      <c r="G20" t="str">
        <f t="shared" si="1"/>
        <v>SPLINE 510,2989.2302741125</v>
      </c>
      <c r="H20">
        <f t="shared" si="2"/>
        <v>8.5000000000000006E-2</v>
      </c>
      <c r="I20" s="9"/>
      <c r="J20" s="9"/>
    </row>
    <row r="21" spans="5:10" x14ac:dyDescent="0.3">
      <c r="E21">
        <f t="shared" si="3"/>
        <v>540</v>
      </c>
      <c r="F21">
        <f t="shared" si="0"/>
        <v>2987.3174411999998</v>
      </c>
      <c r="G21" t="str">
        <f t="shared" si="1"/>
        <v>SPLINE 540,2987.3174412</v>
      </c>
      <c r="H21">
        <f t="shared" si="2"/>
        <v>0.09</v>
      </c>
      <c r="I21" s="9"/>
      <c r="J21" s="9"/>
    </row>
    <row r="22" spans="5:10" x14ac:dyDescent="0.3">
      <c r="E22">
        <f t="shared" si="3"/>
        <v>570</v>
      </c>
      <c r="F22">
        <f t="shared" si="0"/>
        <v>2985.2031650375002</v>
      </c>
      <c r="G22" t="str">
        <f t="shared" si="1"/>
        <v>SPLINE 570,2985.2031650375</v>
      </c>
      <c r="H22">
        <f t="shared" si="2"/>
        <v>9.5000000000000001E-2</v>
      </c>
      <c r="I22" s="9"/>
      <c r="J22" s="9"/>
    </row>
    <row r="23" spans="5:10" x14ac:dyDescent="0.3">
      <c r="E23">
        <f t="shared" si="3"/>
        <v>600</v>
      </c>
      <c r="F23">
        <f t="shared" si="0"/>
        <v>2982.88</v>
      </c>
      <c r="G23" t="str">
        <f t="shared" si="1"/>
        <v>SPLINE 600,2982.88</v>
      </c>
      <c r="H23">
        <f t="shared" si="2"/>
        <v>0.1</v>
      </c>
      <c r="I23" s="9"/>
      <c r="J23" s="9"/>
    </row>
    <row r="24" spans="5:10" x14ac:dyDescent="0.3">
      <c r="E24">
        <f t="shared" si="3"/>
        <v>630</v>
      </c>
      <c r="F24">
        <f t="shared" si="0"/>
        <v>2980.3408649624998</v>
      </c>
      <c r="G24" t="str">
        <f t="shared" si="1"/>
        <v>SPLINE 630,2980.3408649625</v>
      </c>
      <c r="H24">
        <f t="shared" si="2"/>
        <v>0.105</v>
      </c>
    </row>
    <row r="25" spans="5:10" x14ac:dyDescent="0.3">
      <c r="E25">
        <f t="shared" si="3"/>
        <v>660</v>
      </c>
      <c r="F25">
        <f t="shared" si="0"/>
        <v>2977.5790388</v>
      </c>
      <c r="G25" t="str">
        <f t="shared" si="1"/>
        <v>SPLINE 660,2977.5790388</v>
      </c>
      <c r="H25">
        <f t="shared" si="2"/>
        <v>0.11</v>
      </c>
    </row>
    <row r="26" spans="5:10" x14ac:dyDescent="0.3">
      <c r="E26">
        <f t="shared" si="3"/>
        <v>690</v>
      </c>
      <c r="F26">
        <f t="shared" si="0"/>
        <v>2974.5881558874999</v>
      </c>
      <c r="G26" t="str">
        <f t="shared" si="1"/>
        <v>SPLINE 690,2974.5881558875</v>
      </c>
      <c r="H26">
        <f t="shared" si="2"/>
        <v>0.115</v>
      </c>
    </row>
    <row r="27" spans="5:10" x14ac:dyDescent="0.3">
      <c r="E27">
        <f t="shared" si="3"/>
        <v>720</v>
      </c>
      <c r="F27">
        <f t="shared" si="0"/>
        <v>2971.3622015999999</v>
      </c>
      <c r="G27" t="str">
        <f t="shared" si="1"/>
        <v>SPLINE 720,2971.3622016</v>
      </c>
      <c r="H27">
        <f t="shared" si="2"/>
        <v>0.12</v>
      </c>
    </row>
    <row r="28" spans="5:10" x14ac:dyDescent="0.3">
      <c r="E28">
        <f t="shared" si="3"/>
        <v>750</v>
      </c>
      <c r="F28">
        <f t="shared" si="0"/>
        <v>2967.8955078125</v>
      </c>
      <c r="G28" t="str">
        <f t="shared" si="1"/>
        <v>SPLINE 750,2967.8955078125</v>
      </c>
      <c r="H28">
        <f t="shared" si="2"/>
        <v>0.125</v>
      </c>
    </row>
    <row r="29" spans="5:10" x14ac:dyDescent="0.3">
      <c r="E29">
        <f t="shared" si="3"/>
        <v>780</v>
      </c>
      <c r="F29">
        <f t="shared" si="0"/>
        <v>2964.1827484</v>
      </c>
      <c r="G29" t="str">
        <f t="shared" si="1"/>
        <v>SPLINE 780,2964.1827484</v>
      </c>
      <c r="H29">
        <f t="shared" si="2"/>
        <v>0.13</v>
      </c>
    </row>
    <row r="30" spans="5:10" x14ac:dyDescent="0.3">
      <c r="E30">
        <f t="shared" si="3"/>
        <v>810</v>
      </c>
      <c r="F30">
        <f t="shared" si="0"/>
        <v>2960.2189347375001</v>
      </c>
      <c r="G30" t="str">
        <f t="shared" si="1"/>
        <v>SPLINE 810,2960.2189347375</v>
      </c>
      <c r="H30">
        <f t="shared" si="2"/>
        <v>0.13500000000000001</v>
      </c>
    </row>
    <row r="31" spans="5:10" x14ac:dyDescent="0.3">
      <c r="E31">
        <f t="shared" si="3"/>
        <v>840</v>
      </c>
      <c r="F31">
        <f t="shared" si="0"/>
        <v>2955.9994111999999</v>
      </c>
      <c r="G31" t="str">
        <f t="shared" si="1"/>
        <v>SPLINE 840,2955.9994112</v>
      </c>
      <c r="H31">
        <f t="shared" si="2"/>
        <v>0.14000000000000001</v>
      </c>
    </row>
    <row r="32" spans="5:10" x14ac:dyDescent="0.3">
      <c r="E32">
        <f t="shared" si="3"/>
        <v>870</v>
      </c>
      <c r="F32">
        <f t="shared" si="0"/>
        <v>2951.5198506625002</v>
      </c>
      <c r="G32" t="str">
        <f t="shared" si="1"/>
        <v>SPLINE 870,2951.5198506625</v>
      </c>
      <c r="H32">
        <f t="shared" si="2"/>
        <v>0.14499999999999999</v>
      </c>
    </row>
    <row r="33" spans="5:8" x14ac:dyDescent="0.3">
      <c r="E33">
        <f t="shared" si="3"/>
        <v>900</v>
      </c>
      <c r="F33">
        <f t="shared" si="0"/>
        <v>2946.7762499999999</v>
      </c>
      <c r="G33" t="str">
        <f t="shared" si="1"/>
        <v>SPLINE 900,2946.77625</v>
      </c>
      <c r="H33">
        <f t="shared" si="2"/>
        <v>0.15</v>
      </c>
    </row>
    <row r="34" spans="5:8" x14ac:dyDescent="0.3">
      <c r="E34">
        <f t="shared" si="3"/>
        <v>930</v>
      </c>
      <c r="F34">
        <f t="shared" si="0"/>
        <v>2941.7649255874999</v>
      </c>
      <c r="G34" t="str">
        <f t="shared" si="1"/>
        <v>SPLINE 930,2941.7649255875</v>
      </c>
      <c r="H34">
        <f t="shared" si="2"/>
        <v>0.155</v>
      </c>
    </row>
    <row r="35" spans="5:8" x14ac:dyDescent="0.3">
      <c r="E35">
        <f t="shared" si="3"/>
        <v>960</v>
      </c>
      <c r="F35">
        <f t="shared" si="0"/>
        <v>2936.4825087999998</v>
      </c>
      <c r="G35" t="str">
        <f t="shared" si="1"/>
        <v>SPLINE 960,2936.4825088</v>
      </c>
      <c r="H35">
        <f t="shared" si="2"/>
        <v>0.16</v>
      </c>
    </row>
    <row r="36" spans="5:8" x14ac:dyDescent="0.3">
      <c r="E36">
        <f t="shared" si="3"/>
        <v>990</v>
      </c>
      <c r="F36">
        <f t="shared" si="0"/>
        <v>2930.9259415124998</v>
      </c>
      <c r="G36" t="str">
        <f t="shared" si="1"/>
        <v>SPLINE 990,2930.9259415125</v>
      </c>
      <c r="H36">
        <f t="shared" si="2"/>
        <v>0.16500000000000001</v>
      </c>
    </row>
    <row r="37" spans="5:8" x14ac:dyDescent="0.3">
      <c r="E37">
        <f t="shared" si="3"/>
        <v>1020</v>
      </c>
      <c r="F37">
        <f t="shared" si="0"/>
        <v>2925.0924716</v>
      </c>
      <c r="G37" t="str">
        <f t="shared" si="1"/>
        <v>SPLINE 1020,2925.0924716</v>
      </c>
      <c r="H37">
        <f t="shared" si="2"/>
        <v>0.17</v>
      </c>
    </row>
    <row r="38" spans="5:8" x14ac:dyDescent="0.3">
      <c r="E38">
        <f t="shared" si="3"/>
        <v>1050</v>
      </c>
      <c r="F38">
        <f t="shared" si="0"/>
        <v>2918.9796484375001</v>
      </c>
      <c r="G38" t="str">
        <f t="shared" si="1"/>
        <v>SPLINE 1050,2918.9796484375</v>
      </c>
      <c r="H38">
        <f t="shared" si="2"/>
        <v>0.17499999999999999</v>
      </c>
    </row>
    <row r="39" spans="5:8" x14ac:dyDescent="0.3">
      <c r="E39">
        <f t="shared" si="3"/>
        <v>1080</v>
      </c>
      <c r="F39">
        <f t="shared" si="0"/>
        <v>2912.5853183999998</v>
      </c>
      <c r="G39" t="str">
        <f t="shared" si="1"/>
        <v>SPLINE 1080,2912.5853184</v>
      </c>
      <c r="H39">
        <f t="shared" si="2"/>
        <v>0.18</v>
      </c>
    </row>
    <row r="40" spans="5:8" x14ac:dyDescent="0.3">
      <c r="E40">
        <f t="shared" si="3"/>
        <v>1110</v>
      </c>
      <c r="F40">
        <f t="shared" si="0"/>
        <v>2905.9076203625</v>
      </c>
      <c r="G40" t="str">
        <f t="shared" si="1"/>
        <v>SPLINE 1110,2905.9076203625</v>
      </c>
      <c r="H40">
        <f t="shared" si="2"/>
        <v>0.185</v>
      </c>
    </row>
    <row r="41" spans="5:8" x14ac:dyDescent="0.3">
      <c r="E41">
        <f t="shared" si="3"/>
        <v>1140</v>
      </c>
      <c r="F41">
        <f t="shared" si="0"/>
        <v>2898.9449811999998</v>
      </c>
      <c r="G41" t="str">
        <f t="shared" si="1"/>
        <v>SPLINE 1140,2898.9449812</v>
      </c>
      <c r="H41">
        <f t="shared" si="2"/>
        <v>0.19</v>
      </c>
    </row>
    <row r="42" spans="5:8" x14ac:dyDescent="0.3">
      <c r="E42">
        <f t="shared" si="3"/>
        <v>1170</v>
      </c>
      <c r="F42">
        <f t="shared" si="0"/>
        <v>2891.6961112875001</v>
      </c>
      <c r="G42" t="str">
        <f t="shared" si="1"/>
        <v>SPLINE 1170,2891.6961112875</v>
      </c>
      <c r="H42">
        <f t="shared" si="2"/>
        <v>0.19500000000000001</v>
      </c>
    </row>
    <row r="43" spans="5:8" x14ac:dyDescent="0.3">
      <c r="E43">
        <f t="shared" si="3"/>
        <v>1200</v>
      </c>
      <c r="F43">
        <f t="shared" si="0"/>
        <v>2884.16</v>
      </c>
      <c r="G43" t="str">
        <f t="shared" si="1"/>
        <v>SPLINE 1200,2884.16</v>
      </c>
      <c r="H43">
        <f t="shared" si="2"/>
        <v>0.2</v>
      </c>
    </row>
    <row r="44" spans="5:8" x14ac:dyDescent="0.3">
      <c r="E44">
        <f t="shared" si="3"/>
        <v>1230</v>
      </c>
      <c r="F44">
        <f t="shared" si="0"/>
        <v>2876.3359112124999</v>
      </c>
      <c r="G44" t="str">
        <f t="shared" si="1"/>
        <v>SPLINE 1230,2876.3359112125</v>
      </c>
      <c r="H44">
        <f t="shared" si="2"/>
        <v>0.20499999999999999</v>
      </c>
    </row>
    <row r="45" spans="5:8" x14ac:dyDescent="0.3">
      <c r="E45">
        <f t="shared" si="3"/>
        <v>1260</v>
      </c>
      <c r="F45">
        <f t="shared" si="0"/>
        <v>2868.2233787999999</v>
      </c>
      <c r="G45" t="str">
        <f t="shared" si="1"/>
        <v>SPLINE 1260,2868.2233788</v>
      </c>
      <c r="H45">
        <f t="shared" si="2"/>
        <v>0.21</v>
      </c>
    </row>
    <row r="46" spans="5:8" x14ac:dyDescent="0.3">
      <c r="E46">
        <f t="shared" si="3"/>
        <v>1290</v>
      </c>
      <c r="F46">
        <f t="shared" si="0"/>
        <v>2859.8222021375</v>
      </c>
      <c r="G46" t="str">
        <f t="shared" si="1"/>
        <v>SPLINE 1290,2859.8222021375</v>
      </c>
      <c r="H46">
        <f t="shared" si="2"/>
        <v>0.215</v>
      </c>
    </row>
    <row r="47" spans="5:8" x14ac:dyDescent="0.3">
      <c r="E47">
        <f t="shared" si="3"/>
        <v>1320</v>
      </c>
      <c r="F47">
        <f t="shared" si="0"/>
        <v>2851.1324416000002</v>
      </c>
      <c r="G47" t="str">
        <f t="shared" si="1"/>
        <v>SPLINE 1320,2851.1324416</v>
      </c>
      <c r="H47">
        <f t="shared" si="2"/>
        <v>0.22</v>
      </c>
    </row>
    <row r="48" spans="5:8" x14ac:dyDescent="0.3">
      <c r="E48">
        <f t="shared" si="3"/>
        <v>1350</v>
      </c>
      <c r="F48">
        <f t="shared" si="0"/>
        <v>2842.1544140625001</v>
      </c>
      <c r="G48" t="str">
        <f t="shared" si="1"/>
        <v>SPLINE 1350,2842.1544140625</v>
      </c>
      <c r="H48">
        <f t="shared" si="2"/>
        <v>0.22500000000000001</v>
      </c>
    </row>
    <row r="49" spans="5:8" x14ac:dyDescent="0.3">
      <c r="E49">
        <f t="shared" si="3"/>
        <v>1380</v>
      </c>
      <c r="F49">
        <f t="shared" si="0"/>
        <v>2832.8886883999999</v>
      </c>
      <c r="G49" t="str">
        <f t="shared" si="1"/>
        <v>SPLINE 1380,2832.8886884</v>
      </c>
      <c r="H49">
        <f t="shared" si="2"/>
        <v>0.23</v>
      </c>
    </row>
    <row r="50" spans="5:8" x14ac:dyDescent="0.3">
      <c r="E50">
        <f t="shared" si="3"/>
        <v>1410</v>
      </c>
      <c r="F50">
        <f t="shared" si="0"/>
        <v>2823.3360809875003</v>
      </c>
      <c r="G50" t="str">
        <f t="shared" si="1"/>
        <v>SPLINE 1410,2823.3360809875</v>
      </c>
      <c r="H50">
        <f t="shared" si="2"/>
        <v>0.23499999999999999</v>
      </c>
    </row>
    <row r="51" spans="5:8" x14ac:dyDescent="0.3">
      <c r="E51">
        <f t="shared" si="3"/>
        <v>1440</v>
      </c>
      <c r="F51">
        <f t="shared" si="0"/>
        <v>2813.4976511999998</v>
      </c>
      <c r="G51" t="str">
        <f t="shared" si="1"/>
        <v>SPLINE 1440,2813.4976512</v>
      </c>
      <c r="H51">
        <f t="shared" si="2"/>
        <v>0.24</v>
      </c>
    </row>
    <row r="52" spans="5:8" x14ac:dyDescent="0.3">
      <c r="E52">
        <f t="shared" si="3"/>
        <v>1470</v>
      </c>
      <c r="F52">
        <f t="shared" si="0"/>
        <v>2803.3746969125</v>
      </c>
      <c r="G52" t="str">
        <f t="shared" si="1"/>
        <v>SPLINE 1470,2803.3746969125</v>
      </c>
      <c r="H52">
        <f t="shared" si="2"/>
        <v>0.245</v>
      </c>
    </row>
    <row r="53" spans="5:8" x14ac:dyDescent="0.3">
      <c r="E53">
        <f t="shared" si="3"/>
        <v>1500</v>
      </c>
      <c r="F53">
        <f t="shared" si="0"/>
        <v>2792.96875</v>
      </c>
      <c r="G53" t="str">
        <f t="shared" si="1"/>
        <v>SPLINE 1500,2792.96875</v>
      </c>
      <c r="H53">
        <f t="shared" si="2"/>
        <v>0.25</v>
      </c>
    </row>
    <row r="54" spans="5:8" x14ac:dyDescent="0.3">
      <c r="E54">
        <f t="shared" si="3"/>
        <v>1530</v>
      </c>
      <c r="F54">
        <f t="shared" si="0"/>
        <v>2782.2815718375</v>
      </c>
      <c r="G54" t="str">
        <f t="shared" si="1"/>
        <v>SPLINE 1530,2782.2815718375</v>
      </c>
      <c r="H54">
        <f t="shared" si="2"/>
        <v>0.255</v>
      </c>
    </row>
    <row r="55" spans="5:8" x14ac:dyDescent="0.3">
      <c r="E55">
        <f t="shared" si="3"/>
        <v>1560</v>
      </c>
      <c r="F55">
        <f t="shared" si="0"/>
        <v>2771.3151487999999</v>
      </c>
      <c r="G55" t="str">
        <f t="shared" si="1"/>
        <v>SPLINE 1560,2771.3151488</v>
      </c>
      <c r="H55">
        <f t="shared" si="2"/>
        <v>0.26</v>
      </c>
    </row>
    <row r="56" spans="5:8" x14ac:dyDescent="0.3">
      <c r="E56">
        <f t="shared" si="3"/>
        <v>1590</v>
      </c>
      <c r="F56">
        <f t="shared" si="0"/>
        <v>2760.0716877625</v>
      </c>
      <c r="G56" t="str">
        <f t="shared" si="1"/>
        <v>SPLINE 1590,2760.0716877625</v>
      </c>
      <c r="H56">
        <f t="shared" si="2"/>
        <v>0.26500000000000001</v>
      </c>
    </row>
    <row r="57" spans="5:8" x14ac:dyDescent="0.3">
      <c r="E57">
        <f t="shared" si="3"/>
        <v>1620</v>
      </c>
      <c r="F57">
        <f t="shared" si="0"/>
        <v>2748.5536115999998</v>
      </c>
      <c r="G57" t="str">
        <f t="shared" si="1"/>
        <v>SPLINE 1620,2748.5536116</v>
      </c>
      <c r="H57">
        <f t="shared" si="2"/>
        <v>0.27</v>
      </c>
    </row>
    <row r="58" spans="5:8" x14ac:dyDescent="0.3">
      <c r="E58">
        <f t="shared" si="3"/>
        <v>1650</v>
      </c>
      <c r="F58">
        <f t="shared" si="0"/>
        <v>2736.7635546874999</v>
      </c>
      <c r="G58" t="str">
        <f t="shared" si="1"/>
        <v>SPLINE 1650,2736.7635546875</v>
      </c>
      <c r="H58">
        <f t="shared" si="2"/>
        <v>0.27500000000000002</v>
      </c>
    </row>
    <row r="59" spans="5:8" x14ac:dyDescent="0.3">
      <c r="E59">
        <f t="shared" si="3"/>
        <v>1680</v>
      </c>
      <c r="F59">
        <f t="shared" si="0"/>
        <v>2724.7043583999998</v>
      </c>
      <c r="G59" t="str">
        <f t="shared" si="1"/>
        <v>SPLINE 1680,2724.7043584</v>
      </c>
      <c r="H59">
        <f t="shared" si="2"/>
        <v>0.28000000000000003</v>
      </c>
    </row>
    <row r="60" spans="5:8" x14ac:dyDescent="0.3">
      <c r="E60">
        <f t="shared" si="3"/>
        <v>1710</v>
      </c>
      <c r="F60">
        <f t="shared" si="0"/>
        <v>2712.3790666125001</v>
      </c>
      <c r="G60" t="str">
        <f t="shared" si="1"/>
        <v>SPLINE 1710,2712.3790666125</v>
      </c>
      <c r="H60">
        <f t="shared" si="2"/>
        <v>0.28499999999999998</v>
      </c>
    </row>
    <row r="61" spans="5:8" x14ac:dyDescent="0.3">
      <c r="E61">
        <f t="shared" si="3"/>
        <v>1740</v>
      </c>
      <c r="F61">
        <f t="shared" si="0"/>
        <v>2699.7909212</v>
      </c>
      <c r="G61" t="str">
        <f t="shared" si="1"/>
        <v>SPLINE 1740,2699.7909212</v>
      </c>
      <c r="H61">
        <f t="shared" si="2"/>
        <v>0.28999999999999998</v>
      </c>
    </row>
    <row r="62" spans="5:8" x14ac:dyDescent="0.3">
      <c r="E62">
        <f t="shared" si="3"/>
        <v>1770</v>
      </c>
      <c r="F62">
        <f t="shared" si="0"/>
        <v>2686.9433575375001</v>
      </c>
      <c r="G62" t="str">
        <f t="shared" si="1"/>
        <v>SPLINE 1770,2686.9433575375</v>
      </c>
      <c r="H62">
        <f t="shared" si="2"/>
        <v>0.29499999999999998</v>
      </c>
    </row>
    <row r="63" spans="5:8" x14ac:dyDescent="0.3">
      <c r="E63">
        <f t="shared" si="3"/>
        <v>1800</v>
      </c>
      <c r="F63">
        <f t="shared" si="0"/>
        <v>2673.84</v>
      </c>
      <c r="G63" t="str">
        <f t="shared" si="1"/>
        <v>SPLINE 1800,2673.84</v>
      </c>
      <c r="H63">
        <f t="shared" si="2"/>
        <v>0.3</v>
      </c>
    </row>
    <row r="64" spans="5:8" x14ac:dyDescent="0.3">
      <c r="E64">
        <f t="shared" si="3"/>
        <v>1830</v>
      </c>
      <c r="F64">
        <f t="shared" si="0"/>
        <v>2660.4846574624999</v>
      </c>
      <c r="G64" t="str">
        <f t="shared" si="1"/>
        <v>SPLINE 1830,2660.4846574625</v>
      </c>
      <c r="H64">
        <f t="shared" si="2"/>
        <v>0.30499999999999999</v>
      </c>
    </row>
    <row r="65" spans="5:8" x14ac:dyDescent="0.3">
      <c r="E65">
        <f t="shared" si="3"/>
        <v>1860</v>
      </c>
      <c r="F65">
        <f t="shared" si="0"/>
        <v>2646.8813187999999</v>
      </c>
      <c r="G65" t="str">
        <f t="shared" si="1"/>
        <v>SPLINE 1860,2646.8813188</v>
      </c>
      <c r="H65">
        <f t="shared" si="2"/>
        <v>0.31</v>
      </c>
    </row>
    <row r="66" spans="5:8" x14ac:dyDescent="0.3">
      <c r="E66">
        <f t="shared" si="3"/>
        <v>1890</v>
      </c>
      <c r="F66">
        <f t="shared" si="0"/>
        <v>2633.0341483875</v>
      </c>
      <c r="G66" t="str">
        <f t="shared" si="1"/>
        <v>SPLINE 1890,2633.0341483875</v>
      </c>
      <c r="H66">
        <f t="shared" si="2"/>
        <v>0.315</v>
      </c>
    </row>
    <row r="67" spans="5:8" x14ac:dyDescent="0.3">
      <c r="E67">
        <f t="shared" si="3"/>
        <v>1920</v>
      </c>
      <c r="F67">
        <f t="shared" si="0"/>
        <v>2618.9474815999997</v>
      </c>
      <c r="G67" t="str">
        <f t="shared" si="1"/>
        <v>SPLINE 1920,2618.9474816</v>
      </c>
      <c r="H67">
        <f t="shared" si="2"/>
        <v>0.32</v>
      </c>
    </row>
    <row r="68" spans="5:8" x14ac:dyDescent="0.3">
      <c r="E68">
        <f t="shared" si="3"/>
        <v>1950</v>
      </c>
      <c r="F68">
        <f t="shared" ref="F68:F131" si="4">((-10*(H68^3)+15*(H68^4)-6*(H68^5))*($B$3-$C$3))+$B$3</f>
        <v>2604.6258203124999</v>
      </c>
      <c r="G68" t="str">
        <f t="shared" ref="G68:G131" si="5">CONCATENATE("SPLINE ",$E68,",",$F68)</f>
        <v>SPLINE 1950,2604.6258203125</v>
      </c>
      <c r="H68">
        <f t="shared" ref="H68:H131" si="6">E68/$D$3</f>
        <v>0.32500000000000001</v>
      </c>
    </row>
    <row r="69" spans="5:8" x14ac:dyDescent="0.3">
      <c r="E69">
        <f t="shared" ref="E69:E132" si="7">E68+($D$3/200)</f>
        <v>1980</v>
      </c>
      <c r="F69">
        <f t="shared" si="4"/>
        <v>2590.0738283999999</v>
      </c>
      <c r="G69" t="str">
        <f t="shared" si="5"/>
        <v>SPLINE 1980,2590.0738284</v>
      </c>
      <c r="H69">
        <f t="shared" si="6"/>
        <v>0.33</v>
      </c>
    </row>
    <row r="70" spans="5:8" x14ac:dyDescent="0.3">
      <c r="E70">
        <f t="shared" si="7"/>
        <v>2010</v>
      </c>
      <c r="F70">
        <f t="shared" si="4"/>
        <v>2575.2963272375</v>
      </c>
      <c r="G70" t="str">
        <f t="shared" si="5"/>
        <v>SPLINE 2010,2575.2963272375</v>
      </c>
      <c r="H70">
        <f t="shared" si="6"/>
        <v>0.33500000000000002</v>
      </c>
    </row>
    <row r="71" spans="5:8" x14ac:dyDescent="0.3">
      <c r="E71">
        <f t="shared" si="7"/>
        <v>2040</v>
      </c>
      <c r="F71">
        <f t="shared" si="4"/>
        <v>2560.2982911999998</v>
      </c>
      <c r="G71" t="str">
        <f t="shared" si="5"/>
        <v>SPLINE 2040,2560.2982912</v>
      </c>
      <c r="H71">
        <f t="shared" si="6"/>
        <v>0.34</v>
      </c>
    </row>
    <row r="72" spans="5:8" x14ac:dyDescent="0.3">
      <c r="E72">
        <f t="shared" si="7"/>
        <v>2070</v>
      </c>
      <c r="F72">
        <f t="shared" si="4"/>
        <v>2545.0848431625</v>
      </c>
      <c r="G72" t="str">
        <f t="shared" si="5"/>
        <v>SPLINE 2070,2545.0848431625</v>
      </c>
      <c r="H72">
        <f t="shared" si="6"/>
        <v>0.34499999999999997</v>
      </c>
    </row>
    <row r="73" spans="5:8" x14ac:dyDescent="0.3">
      <c r="E73">
        <f t="shared" si="7"/>
        <v>2100</v>
      </c>
      <c r="F73">
        <f t="shared" si="4"/>
        <v>2529.6612500000001</v>
      </c>
      <c r="G73" t="str">
        <f t="shared" si="5"/>
        <v>SPLINE 2100,2529.66125</v>
      </c>
      <c r="H73">
        <f t="shared" si="6"/>
        <v>0.35</v>
      </c>
    </row>
    <row r="74" spans="5:8" x14ac:dyDescent="0.3">
      <c r="E74">
        <f t="shared" si="7"/>
        <v>2130</v>
      </c>
      <c r="F74">
        <f t="shared" si="4"/>
        <v>2514.0329180875001</v>
      </c>
      <c r="G74" t="str">
        <f t="shared" si="5"/>
        <v>SPLINE 2130,2514.0329180875</v>
      </c>
      <c r="H74">
        <f t="shared" si="6"/>
        <v>0.35499999999999998</v>
      </c>
    </row>
    <row r="75" spans="5:8" x14ac:dyDescent="0.3">
      <c r="E75">
        <f t="shared" si="7"/>
        <v>2160</v>
      </c>
      <c r="F75">
        <f t="shared" si="4"/>
        <v>2498.2053888</v>
      </c>
      <c r="G75" t="str">
        <f t="shared" si="5"/>
        <v>SPLINE 2160,2498.2053888</v>
      </c>
      <c r="H75">
        <f t="shared" si="6"/>
        <v>0.36</v>
      </c>
    </row>
    <row r="76" spans="5:8" x14ac:dyDescent="0.3">
      <c r="E76">
        <f t="shared" si="7"/>
        <v>2190</v>
      </c>
      <c r="F76">
        <f t="shared" si="4"/>
        <v>2482.1843340124997</v>
      </c>
      <c r="G76" t="str">
        <f t="shared" si="5"/>
        <v>SPLINE 2190,2482.1843340125</v>
      </c>
      <c r="H76">
        <f t="shared" si="6"/>
        <v>0.36499999999999999</v>
      </c>
    </row>
    <row r="77" spans="5:8" x14ac:dyDescent="0.3">
      <c r="E77">
        <f t="shared" si="7"/>
        <v>2220</v>
      </c>
      <c r="F77">
        <f t="shared" si="4"/>
        <v>2465.9755516</v>
      </c>
      <c r="G77" t="str">
        <f t="shared" si="5"/>
        <v>SPLINE 2220,2465.9755516</v>
      </c>
      <c r="H77">
        <f t="shared" si="6"/>
        <v>0.37</v>
      </c>
    </row>
    <row r="78" spans="5:8" x14ac:dyDescent="0.3">
      <c r="E78">
        <f t="shared" si="7"/>
        <v>2250</v>
      </c>
      <c r="F78">
        <f t="shared" si="4"/>
        <v>2449.5849609375</v>
      </c>
      <c r="G78" t="str">
        <f t="shared" si="5"/>
        <v>SPLINE 2250,2449.5849609375</v>
      </c>
      <c r="H78">
        <f t="shared" si="6"/>
        <v>0.375</v>
      </c>
    </row>
    <row r="79" spans="5:8" x14ac:dyDescent="0.3">
      <c r="E79">
        <f t="shared" si="7"/>
        <v>2280</v>
      </c>
      <c r="F79">
        <f t="shared" si="4"/>
        <v>2433.0185984</v>
      </c>
      <c r="G79" t="str">
        <f t="shared" si="5"/>
        <v>SPLINE 2280,2433.0185984</v>
      </c>
      <c r="H79">
        <f t="shared" si="6"/>
        <v>0.38</v>
      </c>
    </row>
    <row r="80" spans="5:8" x14ac:dyDescent="0.3">
      <c r="E80">
        <f t="shared" si="7"/>
        <v>2310</v>
      </c>
      <c r="F80">
        <f t="shared" si="4"/>
        <v>2416.2826128625002</v>
      </c>
      <c r="G80" t="str">
        <f t="shared" si="5"/>
        <v>SPLINE 2310,2416.2826128625</v>
      </c>
      <c r="H80">
        <f t="shared" si="6"/>
        <v>0.38500000000000001</v>
      </c>
    </row>
    <row r="81" spans="5:8" x14ac:dyDescent="0.3">
      <c r="E81">
        <f t="shared" si="7"/>
        <v>2340</v>
      </c>
      <c r="F81">
        <f t="shared" si="4"/>
        <v>2399.3832612000001</v>
      </c>
      <c r="G81" t="str">
        <f t="shared" si="5"/>
        <v>SPLINE 2340,2399.3832612</v>
      </c>
      <c r="H81">
        <f t="shared" si="6"/>
        <v>0.39</v>
      </c>
    </row>
    <row r="82" spans="5:8" x14ac:dyDescent="0.3">
      <c r="E82">
        <f t="shared" si="7"/>
        <v>2370</v>
      </c>
      <c r="F82">
        <f t="shared" si="4"/>
        <v>2382.3269037874998</v>
      </c>
      <c r="G82" t="str">
        <f t="shared" si="5"/>
        <v>SPLINE 2370,2382.3269037875</v>
      </c>
      <c r="H82">
        <f t="shared" si="6"/>
        <v>0.39500000000000002</v>
      </c>
    </row>
    <row r="83" spans="5:8" x14ac:dyDescent="0.3">
      <c r="E83">
        <f t="shared" si="7"/>
        <v>2400</v>
      </c>
      <c r="F83">
        <f t="shared" si="4"/>
        <v>2365.12</v>
      </c>
      <c r="G83" t="str">
        <f t="shared" si="5"/>
        <v>SPLINE 2400,2365.12</v>
      </c>
      <c r="H83">
        <f t="shared" si="6"/>
        <v>0.4</v>
      </c>
    </row>
    <row r="84" spans="5:8" x14ac:dyDescent="0.3">
      <c r="E84">
        <f t="shared" si="7"/>
        <v>2430</v>
      </c>
      <c r="F84">
        <f t="shared" si="4"/>
        <v>2347.7691037125001</v>
      </c>
      <c r="G84" t="str">
        <f t="shared" si="5"/>
        <v>SPLINE 2430,2347.7691037125</v>
      </c>
      <c r="H84">
        <f t="shared" si="6"/>
        <v>0.40500000000000003</v>
      </c>
    </row>
    <row r="85" spans="5:8" x14ac:dyDescent="0.3">
      <c r="E85">
        <f t="shared" si="7"/>
        <v>2460</v>
      </c>
      <c r="F85">
        <f t="shared" si="4"/>
        <v>2330.2808588000003</v>
      </c>
      <c r="G85" t="str">
        <f t="shared" si="5"/>
        <v>SPLINE 2460,2330.2808588</v>
      </c>
      <c r="H85">
        <f t="shared" si="6"/>
        <v>0.41</v>
      </c>
    </row>
    <row r="86" spans="5:8" x14ac:dyDescent="0.3">
      <c r="E86">
        <f t="shared" si="7"/>
        <v>2490</v>
      </c>
      <c r="F86">
        <f t="shared" si="4"/>
        <v>2312.6619946374999</v>
      </c>
      <c r="G86" t="str">
        <f t="shared" si="5"/>
        <v>SPLINE 2490,2312.6619946375</v>
      </c>
      <c r="H86">
        <f t="shared" si="6"/>
        <v>0.41499999999999998</v>
      </c>
    </row>
    <row r="87" spans="5:8" x14ac:dyDescent="0.3">
      <c r="E87">
        <f t="shared" si="7"/>
        <v>2520</v>
      </c>
      <c r="F87">
        <f t="shared" si="4"/>
        <v>2294.9193216000003</v>
      </c>
      <c r="G87" t="str">
        <f t="shared" si="5"/>
        <v>SPLINE 2520,2294.9193216</v>
      </c>
      <c r="H87">
        <f t="shared" si="6"/>
        <v>0.42</v>
      </c>
    </row>
    <row r="88" spans="5:8" x14ac:dyDescent="0.3">
      <c r="E88">
        <f t="shared" si="7"/>
        <v>2550</v>
      </c>
      <c r="F88">
        <f t="shared" si="4"/>
        <v>2277.0597265625001</v>
      </c>
      <c r="G88" t="str">
        <f t="shared" si="5"/>
        <v>SPLINE 2550,2277.0597265625</v>
      </c>
      <c r="H88">
        <f t="shared" si="6"/>
        <v>0.42499999999999999</v>
      </c>
    </row>
    <row r="89" spans="5:8" x14ac:dyDescent="0.3">
      <c r="E89">
        <f t="shared" si="7"/>
        <v>2580</v>
      </c>
      <c r="F89">
        <f t="shared" si="4"/>
        <v>2259.0901684</v>
      </c>
      <c r="G89" t="str">
        <f t="shared" si="5"/>
        <v>SPLINE 2580,2259.0901684</v>
      </c>
      <c r="H89">
        <f t="shared" si="6"/>
        <v>0.43</v>
      </c>
    </row>
    <row r="90" spans="5:8" x14ac:dyDescent="0.3">
      <c r="E90">
        <f t="shared" si="7"/>
        <v>2610</v>
      </c>
      <c r="F90">
        <f t="shared" si="4"/>
        <v>2241.0176734874999</v>
      </c>
      <c r="G90" t="str">
        <f t="shared" si="5"/>
        <v>SPLINE 2610,2241.0176734875</v>
      </c>
      <c r="H90">
        <f t="shared" si="6"/>
        <v>0.435</v>
      </c>
    </row>
    <row r="91" spans="5:8" x14ac:dyDescent="0.3">
      <c r="E91">
        <f t="shared" si="7"/>
        <v>2640</v>
      </c>
      <c r="F91">
        <f t="shared" si="4"/>
        <v>2222.8493312000001</v>
      </c>
      <c r="G91" t="str">
        <f t="shared" si="5"/>
        <v>SPLINE 2640,2222.8493312</v>
      </c>
      <c r="H91">
        <f t="shared" si="6"/>
        <v>0.44</v>
      </c>
    </row>
    <row r="92" spans="5:8" x14ac:dyDescent="0.3">
      <c r="E92">
        <f t="shared" si="7"/>
        <v>2670</v>
      </c>
      <c r="F92">
        <f t="shared" si="4"/>
        <v>2204.5922894125001</v>
      </c>
      <c r="G92" t="str">
        <f t="shared" si="5"/>
        <v>SPLINE 2670,2204.5922894125</v>
      </c>
      <c r="H92">
        <f t="shared" si="6"/>
        <v>0.44500000000000001</v>
      </c>
    </row>
    <row r="93" spans="5:8" x14ac:dyDescent="0.3">
      <c r="E93">
        <f t="shared" si="7"/>
        <v>2700</v>
      </c>
      <c r="F93">
        <f t="shared" si="4"/>
        <v>2186.2537499999999</v>
      </c>
      <c r="G93" t="str">
        <f t="shared" si="5"/>
        <v>SPLINE 2700,2186.25375</v>
      </c>
      <c r="H93">
        <f t="shared" si="6"/>
        <v>0.45</v>
      </c>
    </row>
    <row r="94" spans="5:8" x14ac:dyDescent="0.3">
      <c r="E94">
        <f t="shared" si="7"/>
        <v>2730</v>
      </c>
      <c r="F94">
        <f t="shared" si="4"/>
        <v>2167.8409643374998</v>
      </c>
      <c r="G94" t="str">
        <f t="shared" si="5"/>
        <v>SPLINE 2730,2167.8409643375</v>
      </c>
      <c r="H94">
        <f t="shared" si="6"/>
        <v>0.45500000000000002</v>
      </c>
    </row>
    <row r="95" spans="5:8" x14ac:dyDescent="0.3">
      <c r="E95">
        <f t="shared" si="7"/>
        <v>2760</v>
      </c>
      <c r="F95">
        <f t="shared" si="4"/>
        <v>2149.3612288000004</v>
      </c>
      <c r="G95" t="str">
        <f t="shared" si="5"/>
        <v>SPLINE 2760,2149.3612288</v>
      </c>
      <c r="H95">
        <f t="shared" si="6"/>
        <v>0.46</v>
      </c>
    </row>
    <row r="96" spans="5:8" x14ac:dyDescent="0.3">
      <c r="E96">
        <f t="shared" si="7"/>
        <v>2790</v>
      </c>
      <c r="F96">
        <f t="shared" si="4"/>
        <v>2130.8218802625001</v>
      </c>
      <c r="G96" t="str">
        <f t="shared" si="5"/>
        <v>SPLINE 2790,2130.8218802625</v>
      </c>
      <c r="H96">
        <f t="shared" si="6"/>
        <v>0.46500000000000002</v>
      </c>
    </row>
    <row r="97" spans="5:8" x14ac:dyDescent="0.3">
      <c r="E97">
        <f t="shared" si="7"/>
        <v>2820</v>
      </c>
      <c r="F97">
        <f t="shared" si="4"/>
        <v>2112.2302916000003</v>
      </c>
      <c r="G97" t="str">
        <f t="shared" si="5"/>
        <v>SPLINE 2820,2112.2302916</v>
      </c>
      <c r="H97">
        <f t="shared" si="6"/>
        <v>0.47</v>
      </c>
    </row>
    <row r="98" spans="5:8" x14ac:dyDescent="0.3">
      <c r="E98">
        <f t="shared" si="7"/>
        <v>2850</v>
      </c>
      <c r="F98">
        <f t="shared" si="4"/>
        <v>2093.5938671875001</v>
      </c>
      <c r="G98" t="str">
        <f t="shared" si="5"/>
        <v>SPLINE 2850,2093.5938671875</v>
      </c>
      <c r="H98">
        <f t="shared" si="6"/>
        <v>0.47499999999999998</v>
      </c>
    </row>
    <row r="99" spans="5:8" x14ac:dyDescent="0.3">
      <c r="E99">
        <f t="shared" si="7"/>
        <v>2880</v>
      </c>
      <c r="F99">
        <f t="shared" si="4"/>
        <v>2074.9200383999996</v>
      </c>
      <c r="G99" t="str">
        <f t="shared" si="5"/>
        <v>SPLINE 2880,2074.9200384</v>
      </c>
      <c r="H99">
        <f t="shared" si="6"/>
        <v>0.48</v>
      </c>
    </row>
    <row r="100" spans="5:8" x14ac:dyDescent="0.3">
      <c r="E100">
        <f t="shared" si="7"/>
        <v>2910</v>
      </c>
      <c r="F100">
        <f t="shared" si="4"/>
        <v>2056.2162591124998</v>
      </c>
      <c r="G100" t="str">
        <f t="shared" si="5"/>
        <v>SPLINE 2910,2056.2162591125</v>
      </c>
      <c r="H100">
        <f t="shared" si="6"/>
        <v>0.48499999999999999</v>
      </c>
    </row>
    <row r="101" spans="5:8" x14ac:dyDescent="0.3">
      <c r="E101">
        <f t="shared" si="7"/>
        <v>2940</v>
      </c>
      <c r="F101">
        <f t="shared" si="4"/>
        <v>2037.4900012000003</v>
      </c>
      <c r="G101" t="str">
        <f t="shared" si="5"/>
        <v>SPLINE 2940,2037.4900012</v>
      </c>
      <c r="H101">
        <f t="shared" si="6"/>
        <v>0.49</v>
      </c>
    </row>
    <row r="102" spans="5:8" x14ac:dyDescent="0.3">
      <c r="E102">
        <f t="shared" si="7"/>
        <v>2970</v>
      </c>
      <c r="F102">
        <f t="shared" si="4"/>
        <v>2018.7487500375</v>
      </c>
      <c r="G102" t="str">
        <f t="shared" si="5"/>
        <v>SPLINE 2970,2018.7487500375</v>
      </c>
      <c r="H102">
        <f t="shared" si="6"/>
        <v>0.495</v>
      </c>
    </row>
    <row r="103" spans="5:8" x14ac:dyDescent="0.3">
      <c r="E103">
        <f t="shared" si="7"/>
        <v>3000</v>
      </c>
      <c r="F103">
        <f t="shared" si="4"/>
        <v>2000</v>
      </c>
      <c r="G103" t="str">
        <f t="shared" si="5"/>
        <v>SPLINE 3000,2000</v>
      </c>
      <c r="H103">
        <f t="shared" si="6"/>
        <v>0.5</v>
      </c>
    </row>
    <row r="104" spans="5:8" s="8" customFormat="1" x14ac:dyDescent="0.3">
      <c r="E104" s="8">
        <f t="shared" si="7"/>
        <v>3030</v>
      </c>
      <c r="F104">
        <f t="shared" si="4"/>
        <v>1981.2512499625004</v>
      </c>
      <c r="G104" t="str">
        <f t="shared" si="5"/>
        <v>SPLINE 3030,1981.2512499625</v>
      </c>
      <c r="H104">
        <f t="shared" si="6"/>
        <v>0.505</v>
      </c>
    </row>
    <row r="105" spans="5:8" x14ac:dyDescent="0.3">
      <c r="E105">
        <f t="shared" si="7"/>
        <v>3060</v>
      </c>
      <c r="F105">
        <f t="shared" si="4"/>
        <v>1962.5099988000004</v>
      </c>
      <c r="G105" t="str">
        <f t="shared" si="5"/>
        <v>SPLINE 3060,1962.5099988</v>
      </c>
      <c r="H105">
        <f t="shared" si="6"/>
        <v>0.51</v>
      </c>
    </row>
    <row r="106" spans="5:8" x14ac:dyDescent="0.3">
      <c r="E106">
        <f t="shared" si="7"/>
        <v>3090</v>
      </c>
      <c r="F106">
        <f t="shared" si="4"/>
        <v>1943.7837408875</v>
      </c>
      <c r="G106" t="str">
        <f t="shared" si="5"/>
        <v>SPLINE 3090,1943.7837408875</v>
      </c>
      <c r="H106">
        <f t="shared" si="6"/>
        <v>0.51500000000000001</v>
      </c>
    </row>
    <row r="107" spans="5:8" x14ac:dyDescent="0.3">
      <c r="E107">
        <f t="shared" si="7"/>
        <v>3120</v>
      </c>
      <c r="F107">
        <f t="shared" si="4"/>
        <v>1925.0799615999997</v>
      </c>
      <c r="G107" t="str">
        <f t="shared" si="5"/>
        <v>SPLINE 3120,1925.0799616</v>
      </c>
      <c r="H107">
        <f t="shared" si="6"/>
        <v>0.52</v>
      </c>
    </row>
    <row r="108" spans="5:8" x14ac:dyDescent="0.3">
      <c r="E108">
        <f t="shared" si="7"/>
        <v>3150</v>
      </c>
      <c r="F108">
        <f t="shared" si="4"/>
        <v>1906.4061328124994</v>
      </c>
      <c r="G108" t="str">
        <f t="shared" si="5"/>
        <v>SPLINE 3150,1906.4061328125</v>
      </c>
      <c r="H108">
        <f t="shared" si="6"/>
        <v>0.52500000000000002</v>
      </c>
    </row>
    <row r="109" spans="5:8" x14ac:dyDescent="0.3">
      <c r="E109">
        <f t="shared" si="7"/>
        <v>3180</v>
      </c>
      <c r="F109">
        <f t="shared" si="4"/>
        <v>1887.7697083999997</v>
      </c>
      <c r="G109" t="str">
        <f t="shared" si="5"/>
        <v>SPLINE 3180,1887.7697084</v>
      </c>
      <c r="H109">
        <f t="shared" si="6"/>
        <v>0.53</v>
      </c>
    </row>
    <row r="110" spans="5:8" x14ac:dyDescent="0.3">
      <c r="E110">
        <f t="shared" si="7"/>
        <v>3210</v>
      </c>
      <c r="F110">
        <f t="shared" si="4"/>
        <v>1869.1781197374994</v>
      </c>
      <c r="G110" t="str">
        <f t="shared" si="5"/>
        <v>SPLINE 3210,1869.1781197375</v>
      </c>
      <c r="H110">
        <f t="shared" si="6"/>
        <v>0.53500000000000003</v>
      </c>
    </row>
    <row r="111" spans="5:8" x14ac:dyDescent="0.3">
      <c r="E111">
        <f t="shared" si="7"/>
        <v>3240</v>
      </c>
      <c r="F111">
        <f t="shared" si="4"/>
        <v>1850.6387711999998</v>
      </c>
      <c r="G111" t="str">
        <f t="shared" si="5"/>
        <v>SPLINE 3240,1850.6387712</v>
      </c>
      <c r="H111">
        <f t="shared" si="6"/>
        <v>0.54</v>
      </c>
    </row>
    <row r="112" spans="5:8" x14ac:dyDescent="0.3">
      <c r="E112">
        <f t="shared" si="7"/>
        <v>3270</v>
      </c>
      <c r="F112">
        <f t="shared" si="4"/>
        <v>1832.1590356624999</v>
      </c>
      <c r="G112" t="str">
        <f t="shared" si="5"/>
        <v>SPLINE 3270,1832.1590356625</v>
      </c>
      <c r="H112">
        <f t="shared" si="6"/>
        <v>0.54500000000000004</v>
      </c>
    </row>
    <row r="113" spans="5:8" x14ac:dyDescent="0.3">
      <c r="E113">
        <f t="shared" si="7"/>
        <v>3300</v>
      </c>
      <c r="F113">
        <f t="shared" si="4"/>
        <v>1813.7462499999995</v>
      </c>
      <c r="G113" t="str">
        <f t="shared" si="5"/>
        <v>SPLINE 3300,1813.74625</v>
      </c>
      <c r="H113">
        <f t="shared" si="6"/>
        <v>0.55000000000000004</v>
      </c>
    </row>
    <row r="114" spans="5:8" x14ac:dyDescent="0.3">
      <c r="E114">
        <f t="shared" si="7"/>
        <v>3330</v>
      </c>
      <c r="F114">
        <f t="shared" si="4"/>
        <v>1795.4077105874999</v>
      </c>
      <c r="G114" t="str">
        <f t="shared" si="5"/>
        <v>SPLINE 3330,1795.4077105875</v>
      </c>
      <c r="H114">
        <f t="shared" si="6"/>
        <v>0.55500000000000005</v>
      </c>
    </row>
    <row r="115" spans="5:8" x14ac:dyDescent="0.3">
      <c r="E115">
        <f t="shared" si="7"/>
        <v>3360</v>
      </c>
      <c r="F115">
        <f t="shared" si="4"/>
        <v>1777.1506687999999</v>
      </c>
      <c r="G115" t="str">
        <f t="shared" si="5"/>
        <v>SPLINE 3360,1777.1506688</v>
      </c>
      <c r="H115">
        <f t="shared" si="6"/>
        <v>0.56000000000000005</v>
      </c>
    </row>
    <row r="116" spans="5:8" x14ac:dyDescent="0.3">
      <c r="E116">
        <f t="shared" si="7"/>
        <v>3390</v>
      </c>
      <c r="F116">
        <f t="shared" si="4"/>
        <v>1758.9823265125003</v>
      </c>
      <c r="G116" t="str">
        <f t="shared" si="5"/>
        <v>SPLINE 3390,1758.9823265125</v>
      </c>
      <c r="H116">
        <f t="shared" si="6"/>
        <v>0.56499999999999995</v>
      </c>
    </row>
    <row r="117" spans="5:8" x14ac:dyDescent="0.3">
      <c r="E117">
        <f t="shared" si="7"/>
        <v>3420</v>
      </c>
      <c r="F117">
        <f t="shared" si="4"/>
        <v>1740.9098316000002</v>
      </c>
      <c r="G117" t="str">
        <f t="shared" si="5"/>
        <v>SPLINE 3420,1740.9098316</v>
      </c>
      <c r="H117">
        <f t="shared" si="6"/>
        <v>0.56999999999999995</v>
      </c>
    </row>
    <row r="118" spans="5:8" x14ac:dyDescent="0.3">
      <c r="E118">
        <f t="shared" si="7"/>
        <v>3450</v>
      </c>
      <c r="F118">
        <f t="shared" si="4"/>
        <v>1722.9402734375003</v>
      </c>
      <c r="G118" t="str">
        <f t="shared" si="5"/>
        <v>SPLINE 3450,1722.9402734375</v>
      </c>
      <c r="H118">
        <f t="shared" si="6"/>
        <v>0.57499999999999996</v>
      </c>
    </row>
    <row r="119" spans="5:8" x14ac:dyDescent="0.3">
      <c r="E119">
        <f t="shared" si="7"/>
        <v>3480</v>
      </c>
      <c r="F119">
        <f t="shared" si="4"/>
        <v>1705.0806784000001</v>
      </c>
      <c r="G119" t="str">
        <f t="shared" si="5"/>
        <v>SPLINE 3480,1705.0806784</v>
      </c>
      <c r="H119">
        <f t="shared" si="6"/>
        <v>0.57999999999999996</v>
      </c>
    </row>
    <row r="120" spans="5:8" x14ac:dyDescent="0.3">
      <c r="E120">
        <f t="shared" si="7"/>
        <v>3510</v>
      </c>
      <c r="F120">
        <f t="shared" si="4"/>
        <v>1687.3380053625003</v>
      </c>
      <c r="G120" t="str">
        <f t="shared" si="5"/>
        <v>SPLINE 3510,1687.3380053625</v>
      </c>
      <c r="H120">
        <f t="shared" si="6"/>
        <v>0.58499999999999996</v>
      </c>
    </row>
    <row r="121" spans="5:8" x14ac:dyDescent="0.3">
      <c r="E121">
        <f t="shared" si="7"/>
        <v>3540</v>
      </c>
      <c r="F121">
        <f t="shared" si="4"/>
        <v>1669.7191412</v>
      </c>
      <c r="G121" t="str">
        <f t="shared" si="5"/>
        <v>SPLINE 3540,1669.7191412</v>
      </c>
      <c r="H121">
        <f t="shared" si="6"/>
        <v>0.59</v>
      </c>
    </row>
    <row r="122" spans="5:8" x14ac:dyDescent="0.3">
      <c r="E122">
        <f t="shared" si="7"/>
        <v>3570</v>
      </c>
      <c r="F122">
        <f t="shared" si="4"/>
        <v>1652.2308962875004</v>
      </c>
      <c r="G122" t="str">
        <f t="shared" si="5"/>
        <v>SPLINE 3570,1652.2308962875</v>
      </c>
      <c r="H122">
        <f t="shared" si="6"/>
        <v>0.59499999999999997</v>
      </c>
    </row>
    <row r="123" spans="5:8" x14ac:dyDescent="0.3">
      <c r="E123">
        <f t="shared" si="7"/>
        <v>3600</v>
      </c>
      <c r="F123">
        <f t="shared" si="4"/>
        <v>1634.8799999999997</v>
      </c>
      <c r="G123" t="str">
        <f t="shared" si="5"/>
        <v>SPLINE 3600,1634.88</v>
      </c>
      <c r="H123">
        <f t="shared" si="6"/>
        <v>0.6</v>
      </c>
    </row>
    <row r="124" spans="5:8" x14ac:dyDescent="0.3">
      <c r="E124">
        <f t="shared" si="7"/>
        <v>3630</v>
      </c>
      <c r="F124">
        <f t="shared" si="4"/>
        <v>1617.6730962125005</v>
      </c>
      <c r="G124" t="str">
        <f t="shared" si="5"/>
        <v>SPLINE 3630,1617.6730962125</v>
      </c>
      <c r="H124">
        <f t="shared" si="6"/>
        <v>0.60499999999999998</v>
      </c>
    </row>
    <row r="125" spans="5:8" x14ac:dyDescent="0.3">
      <c r="E125">
        <f t="shared" si="7"/>
        <v>3660</v>
      </c>
      <c r="F125">
        <f t="shared" si="4"/>
        <v>1600.6167387999999</v>
      </c>
      <c r="G125" t="str">
        <f t="shared" si="5"/>
        <v>SPLINE 3660,1600.6167388</v>
      </c>
      <c r="H125">
        <f t="shared" si="6"/>
        <v>0.61</v>
      </c>
    </row>
    <row r="126" spans="5:8" x14ac:dyDescent="0.3">
      <c r="E126">
        <f t="shared" si="7"/>
        <v>3690</v>
      </c>
      <c r="F126">
        <f t="shared" si="4"/>
        <v>1583.717387137501</v>
      </c>
      <c r="G126" t="str">
        <f t="shared" si="5"/>
        <v>SPLINE 3690,1583.7173871375</v>
      </c>
      <c r="H126">
        <f t="shared" si="6"/>
        <v>0.61499999999999999</v>
      </c>
    </row>
    <row r="127" spans="5:8" x14ac:dyDescent="0.3">
      <c r="E127">
        <f t="shared" si="7"/>
        <v>3720</v>
      </c>
      <c r="F127">
        <f t="shared" si="4"/>
        <v>1566.9814016000003</v>
      </c>
      <c r="G127" t="str">
        <f t="shared" si="5"/>
        <v>SPLINE 3720,1566.9814016</v>
      </c>
      <c r="H127">
        <f t="shared" si="6"/>
        <v>0.62</v>
      </c>
    </row>
    <row r="128" spans="5:8" x14ac:dyDescent="0.3">
      <c r="E128">
        <f t="shared" si="7"/>
        <v>3750</v>
      </c>
      <c r="F128">
        <f t="shared" si="4"/>
        <v>1550.4150390625</v>
      </c>
      <c r="G128" t="str">
        <f t="shared" si="5"/>
        <v>SPLINE 3750,1550.4150390625</v>
      </c>
      <c r="H128">
        <f t="shared" si="6"/>
        <v>0.625</v>
      </c>
    </row>
    <row r="129" spans="3:8" x14ac:dyDescent="0.3">
      <c r="E129">
        <f t="shared" si="7"/>
        <v>3780</v>
      </c>
      <c r="F129">
        <f t="shared" si="4"/>
        <v>1534.0244484000002</v>
      </c>
      <c r="G129" t="str">
        <f t="shared" si="5"/>
        <v>SPLINE 3780,1534.0244484</v>
      </c>
      <c r="H129">
        <f t="shared" si="6"/>
        <v>0.63</v>
      </c>
    </row>
    <row r="130" spans="3:8" x14ac:dyDescent="0.3">
      <c r="C130" s="1"/>
      <c r="E130">
        <f t="shared" si="7"/>
        <v>3810</v>
      </c>
      <c r="F130">
        <f t="shared" si="4"/>
        <v>1517.8156659875003</v>
      </c>
      <c r="G130" t="str">
        <f t="shared" si="5"/>
        <v>SPLINE 3810,1517.8156659875</v>
      </c>
      <c r="H130">
        <f t="shared" si="6"/>
        <v>0.63500000000000001</v>
      </c>
    </row>
    <row r="131" spans="3:8" x14ac:dyDescent="0.3">
      <c r="E131">
        <f t="shared" si="7"/>
        <v>3840</v>
      </c>
      <c r="F131">
        <f t="shared" si="4"/>
        <v>1501.7946111999984</v>
      </c>
      <c r="G131" t="str">
        <f t="shared" si="5"/>
        <v>SPLINE 3840,1501.7946112</v>
      </c>
      <c r="H131">
        <f t="shared" si="6"/>
        <v>0.64</v>
      </c>
    </row>
    <row r="132" spans="3:8" x14ac:dyDescent="0.3">
      <c r="E132">
        <f t="shared" si="7"/>
        <v>3870</v>
      </c>
      <c r="F132">
        <f t="shared" ref="F132:F195" si="8">((-10*(H132^3)+15*(H132^4)-6*(H132^5))*($B$3-$C$3))+$B$3</f>
        <v>1485.9670819124997</v>
      </c>
      <c r="G132" t="str">
        <f t="shared" ref="G132:G195" si="9">CONCATENATE("SPLINE ",$E132,",",$F132)</f>
        <v>SPLINE 3870,1485.9670819125</v>
      </c>
      <c r="H132">
        <f t="shared" ref="H132:H195" si="10">E132/$D$3</f>
        <v>0.64500000000000002</v>
      </c>
    </row>
    <row r="133" spans="3:8" x14ac:dyDescent="0.3">
      <c r="E133">
        <f t="shared" ref="E133:E196" si="11">E132+($D$3/200)</f>
        <v>3900</v>
      </c>
      <c r="F133">
        <f t="shared" si="8"/>
        <v>1470.3387499999994</v>
      </c>
      <c r="G133" t="str">
        <f t="shared" si="9"/>
        <v>SPLINE 3900,1470.33875</v>
      </c>
      <c r="H133">
        <f t="shared" si="10"/>
        <v>0.65</v>
      </c>
    </row>
    <row r="134" spans="3:8" x14ac:dyDescent="0.3">
      <c r="E134">
        <f t="shared" si="11"/>
        <v>3930</v>
      </c>
      <c r="F134">
        <f t="shared" si="8"/>
        <v>1454.9151568374996</v>
      </c>
      <c r="G134" t="str">
        <f t="shared" si="9"/>
        <v>SPLINE 3930,1454.9151568375</v>
      </c>
      <c r="H134">
        <f t="shared" si="10"/>
        <v>0.65500000000000003</v>
      </c>
    </row>
    <row r="135" spans="3:8" x14ac:dyDescent="0.3">
      <c r="E135">
        <f t="shared" si="11"/>
        <v>3960</v>
      </c>
      <c r="F135">
        <f t="shared" si="8"/>
        <v>1439.7017088</v>
      </c>
      <c r="G135" t="str">
        <f t="shared" si="9"/>
        <v>SPLINE 3960,1439.7017088</v>
      </c>
      <c r="H135">
        <f t="shared" si="10"/>
        <v>0.66</v>
      </c>
    </row>
    <row r="136" spans="3:8" x14ac:dyDescent="0.3">
      <c r="E136">
        <f t="shared" si="11"/>
        <v>3990</v>
      </c>
      <c r="F136">
        <f t="shared" si="8"/>
        <v>1424.7036727625009</v>
      </c>
      <c r="G136" t="str">
        <f t="shared" si="9"/>
        <v>SPLINE 3990,1424.7036727625</v>
      </c>
      <c r="H136">
        <f t="shared" si="10"/>
        <v>0.66500000000000004</v>
      </c>
    </row>
    <row r="137" spans="3:8" x14ac:dyDescent="0.3">
      <c r="E137">
        <f t="shared" si="11"/>
        <v>4020</v>
      </c>
      <c r="F137">
        <f t="shared" si="8"/>
        <v>1409.9261716000005</v>
      </c>
      <c r="G137" t="str">
        <f t="shared" si="9"/>
        <v>SPLINE 4020,1409.9261716</v>
      </c>
      <c r="H137">
        <f t="shared" si="10"/>
        <v>0.67</v>
      </c>
    </row>
    <row r="138" spans="3:8" x14ac:dyDescent="0.3">
      <c r="E138">
        <f t="shared" si="11"/>
        <v>4050</v>
      </c>
      <c r="F138">
        <f t="shared" si="8"/>
        <v>1395.3741796875004</v>
      </c>
      <c r="G138" t="str">
        <f t="shared" si="9"/>
        <v>SPLINE 4050,1395.3741796875</v>
      </c>
      <c r="H138">
        <f t="shared" si="10"/>
        <v>0.67500000000000004</v>
      </c>
    </row>
    <row r="139" spans="3:8" x14ac:dyDescent="0.3">
      <c r="E139">
        <f t="shared" si="11"/>
        <v>4080</v>
      </c>
      <c r="F139">
        <f t="shared" si="8"/>
        <v>1381.0525184000003</v>
      </c>
      <c r="G139" t="str">
        <f t="shared" si="9"/>
        <v>SPLINE 4080,1381.0525184</v>
      </c>
      <c r="H139">
        <f t="shared" si="10"/>
        <v>0.68</v>
      </c>
    </row>
    <row r="140" spans="3:8" x14ac:dyDescent="0.3">
      <c r="E140">
        <f t="shared" si="11"/>
        <v>4110</v>
      </c>
      <c r="F140">
        <f t="shared" si="8"/>
        <v>1366.9658516124996</v>
      </c>
      <c r="G140" t="str">
        <f t="shared" si="9"/>
        <v>SPLINE 4110,1366.9658516125</v>
      </c>
      <c r="H140">
        <f t="shared" si="10"/>
        <v>0.68500000000000005</v>
      </c>
    </row>
    <row r="141" spans="3:8" x14ac:dyDescent="0.3">
      <c r="E141">
        <f t="shared" si="11"/>
        <v>4140</v>
      </c>
      <c r="F141">
        <f t="shared" si="8"/>
        <v>1353.1186811999994</v>
      </c>
      <c r="G141" t="str">
        <f t="shared" si="9"/>
        <v>SPLINE 4140,1353.1186812</v>
      </c>
      <c r="H141">
        <f t="shared" si="10"/>
        <v>0.69</v>
      </c>
    </row>
    <row r="142" spans="3:8" x14ac:dyDescent="0.3">
      <c r="E142">
        <f t="shared" si="11"/>
        <v>4170</v>
      </c>
      <c r="F142">
        <f t="shared" si="8"/>
        <v>1339.5153425375004</v>
      </c>
      <c r="G142" t="str">
        <f t="shared" si="9"/>
        <v>SPLINE 4170,1339.5153425375</v>
      </c>
      <c r="H142">
        <f t="shared" si="10"/>
        <v>0.69499999999999995</v>
      </c>
    </row>
    <row r="143" spans="3:8" x14ac:dyDescent="0.3">
      <c r="E143">
        <f t="shared" si="11"/>
        <v>4200</v>
      </c>
      <c r="F143">
        <f t="shared" si="8"/>
        <v>1326.1599999999999</v>
      </c>
      <c r="G143" t="str">
        <f t="shared" si="9"/>
        <v>SPLINE 4200,1326.16</v>
      </c>
      <c r="H143">
        <f t="shared" si="10"/>
        <v>0.7</v>
      </c>
    </row>
    <row r="144" spans="3:8" x14ac:dyDescent="0.3">
      <c r="E144">
        <f t="shared" si="11"/>
        <v>4230</v>
      </c>
      <c r="F144">
        <f t="shared" si="8"/>
        <v>1313.056642462501</v>
      </c>
      <c r="G144" t="str">
        <f t="shared" si="9"/>
        <v>SPLINE 4230,1313.0566424625</v>
      </c>
      <c r="H144">
        <f t="shared" si="10"/>
        <v>0.70499999999999996</v>
      </c>
    </row>
    <row r="145" spans="5:8" x14ac:dyDescent="0.3">
      <c r="E145">
        <f t="shared" si="11"/>
        <v>4260</v>
      </c>
      <c r="F145">
        <f t="shared" si="8"/>
        <v>1300.2090787999991</v>
      </c>
      <c r="G145" t="str">
        <f t="shared" si="9"/>
        <v>SPLINE 4260,1300.2090788</v>
      </c>
      <c r="H145">
        <f t="shared" si="10"/>
        <v>0.71</v>
      </c>
    </row>
    <row r="146" spans="5:8" x14ac:dyDescent="0.3">
      <c r="E146">
        <f t="shared" si="11"/>
        <v>4290</v>
      </c>
      <c r="F146">
        <f t="shared" si="8"/>
        <v>1287.6209333875001</v>
      </c>
      <c r="G146" t="str">
        <f t="shared" si="9"/>
        <v>SPLINE 4290,1287.6209333875</v>
      </c>
      <c r="H146">
        <f t="shared" si="10"/>
        <v>0.71499999999999997</v>
      </c>
    </row>
    <row r="147" spans="5:8" x14ac:dyDescent="0.3">
      <c r="E147">
        <f t="shared" si="11"/>
        <v>4320</v>
      </c>
      <c r="F147">
        <f t="shared" si="8"/>
        <v>1275.2956415999993</v>
      </c>
      <c r="G147" t="str">
        <f t="shared" si="9"/>
        <v>SPLINE 4320,1275.2956416</v>
      </c>
      <c r="H147">
        <f t="shared" si="10"/>
        <v>0.72</v>
      </c>
    </row>
    <row r="148" spans="5:8" x14ac:dyDescent="0.3">
      <c r="E148">
        <f t="shared" si="11"/>
        <v>4350</v>
      </c>
      <c r="F148">
        <f t="shared" si="8"/>
        <v>1263.2364453125003</v>
      </c>
      <c r="G148" t="str">
        <f t="shared" si="9"/>
        <v>SPLINE 4350,1263.2364453125</v>
      </c>
      <c r="H148">
        <f t="shared" si="10"/>
        <v>0.72499999999999998</v>
      </c>
    </row>
    <row r="149" spans="5:8" x14ac:dyDescent="0.3">
      <c r="E149">
        <f t="shared" si="11"/>
        <v>4380</v>
      </c>
      <c r="F149">
        <f t="shared" si="8"/>
        <v>1251.4463883999988</v>
      </c>
      <c r="G149" t="str">
        <f t="shared" si="9"/>
        <v>SPLINE 4380,1251.4463884</v>
      </c>
      <c r="H149">
        <f t="shared" si="10"/>
        <v>0.73</v>
      </c>
    </row>
    <row r="150" spans="5:8" x14ac:dyDescent="0.3">
      <c r="E150">
        <f t="shared" si="11"/>
        <v>4410</v>
      </c>
      <c r="F150">
        <f t="shared" si="8"/>
        <v>1239.9283122374989</v>
      </c>
      <c r="G150" t="str">
        <f t="shared" si="9"/>
        <v>SPLINE 4410,1239.9283122375</v>
      </c>
      <c r="H150">
        <f t="shared" si="10"/>
        <v>0.73499999999999999</v>
      </c>
    </row>
    <row r="151" spans="5:8" x14ac:dyDescent="0.3">
      <c r="E151">
        <f t="shared" si="11"/>
        <v>4440</v>
      </c>
      <c r="F151">
        <f t="shared" si="8"/>
        <v>1228.6848512000001</v>
      </c>
      <c r="G151" t="str">
        <f t="shared" si="9"/>
        <v>SPLINE 4440,1228.6848512</v>
      </c>
      <c r="H151">
        <f t="shared" si="10"/>
        <v>0.74</v>
      </c>
    </row>
    <row r="152" spans="5:8" x14ac:dyDescent="0.3">
      <c r="E152">
        <f t="shared" si="11"/>
        <v>4470</v>
      </c>
      <c r="F152">
        <f t="shared" si="8"/>
        <v>1217.7184281624989</v>
      </c>
      <c r="G152" t="str">
        <f t="shared" si="9"/>
        <v>SPLINE 4470,1217.7184281625</v>
      </c>
      <c r="H152">
        <f t="shared" si="10"/>
        <v>0.745</v>
      </c>
    </row>
    <row r="153" spans="5:8" x14ac:dyDescent="0.3">
      <c r="E153">
        <f t="shared" si="11"/>
        <v>4500</v>
      </c>
      <c r="F153">
        <f t="shared" si="8"/>
        <v>1207.03125</v>
      </c>
      <c r="G153" t="str">
        <f t="shared" si="9"/>
        <v>SPLINE 4500,1207.03125</v>
      </c>
      <c r="H153">
        <f t="shared" si="10"/>
        <v>0.75</v>
      </c>
    </row>
    <row r="154" spans="5:8" x14ac:dyDescent="0.3">
      <c r="E154">
        <f t="shared" si="11"/>
        <v>4530</v>
      </c>
      <c r="F154">
        <f t="shared" si="8"/>
        <v>1196.6253030875</v>
      </c>
      <c r="G154" t="str">
        <f t="shared" si="9"/>
        <v>SPLINE 4530,1196.6253030875</v>
      </c>
      <c r="H154">
        <f t="shared" si="10"/>
        <v>0.755</v>
      </c>
    </row>
    <row r="155" spans="5:8" x14ac:dyDescent="0.3">
      <c r="E155">
        <f t="shared" si="11"/>
        <v>4560</v>
      </c>
      <c r="F155">
        <f t="shared" si="8"/>
        <v>1186.5023487999986</v>
      </c>
      <c r="G155" t="str">
        <f t="shared" si="9"/>
        <v>SPLINE 4560,1186.5023488</v>
      </c>
      <c r="H155">
        <f t="shared" si="10"/>
        <v>0.76</v>
      </c>
    </row>
    <row r="156" spans="5:8" x14ac:dyDescent="0.3">
      <c r="E156">
        <f t="shared" si="11"/>
        <v>4590</v>
      </c>
      <c r="F156">
        <f t="shared" si="8"/>
        <v>1176.6639190125004</v>
      </c>
      <c r="G156" t="str">
        <f t="shared" si="9"/>
        <v>SPLINE 4590,1176.6639190125</v>
      </c>
      <c r="H156">
        <f t="shared" si="10"/>
        <v>0.76500000000000001</v>
      </c>
    </row>
    <row r="157" spans="5:8" x14ac:dyDescent="0.3">
      <c r="E157">
        <f t="shared" si="11"/>
        <v>4620</v>
      </c>
      <c r="F157">
        <f t="shared" si="8"/>
        <v>1167.1113115999995</v>
      </c>
      <c r="G157" t="str">
        <f t="shared" si="9"/>
        <v>SPLINE 4620,1167.1113116</v>
      </c>
      <c r="H157">
        <f t="shared" si="10"/>
        <v>0.77</v>
      </c>
    </row>
    <row r="158" spans="5:8" x14ac:dyDescent="0.3">
      <c r="E158">
        <f t="shared" si="11"/>
        <v>4650</v>
      </c>
      <c r="F158">
        <f t="shared" si="8"/>
        <v>1157.8455859375003</v>
      </c>
      <c r="G158" t="str">
        <f t="shared" si="9"/>
        <v>SPLINE 4650,1157.8455859375</v>
      </c>
      <c r="H158">
        <f t="shared" si="10"/>
        <v>0.77500000000000002</v>
      </c>
    </row>
    <row r="159" spans="5:8" x14ac:dyDescent="0.3">
      <c r="E159">
        <f t="shared" si="11"/>
        <v>4680</v>
      </c>
      <c r="F159">
        <f t="shared" si="8"/>
        <v>1148.8675584000018</v>
      </c>
      <c r="G159" t="str">
        <f t="shared" si="9"/>
        <v>SPLINE 4680,1148.8675584</v>
      </c>
      <c r="H159">
        <f t="shared" si="10"/>
        <v>0.78</v>
      </c>
    </row>
    <row r="160" spans="5:8" x14ac:dyDescent="0.3">
      <c r="E160">
        <f t="shared" si="11"/>
        <v>4710</v>
      </c>
      <c r="F160">
        <f t="shared" si="8"/>
        <v>1140.1777978625</v>
      </c>
      <c r="G160" t="str">
        <f t="shared" si="9"/>
        <v>SPLINE 4710,1140.1777978625</v>
      </c>
      <c r="H160">
        <f t="shared" si="10"/>
        <v>0.78500000000000003</v>
      </c>
    </row>
    <row r="161" spans="5:8" x14ac:dyDescent="0.3">
      <c r="E161">
        <f t="shared" si="11"/>
        <v>4740</v>
      </c>
      <c r="F161">
        <f t="shared" si="8"/>
        <v>1131.7766212000006</v>
      </c>
      <c r="G161" t="str">
        <f t="shared" si="9"/>
        <v>SPLINE 4740,1131.7766212</v>
      </c>
      <c r="H161">
        <f t="shared" si="10"/>
        <v>0.79</v>
      </c>
    </row>
    <row r="162" spans="5:8" x14ac:dyDescent="0.3">
      <c r="E162">
        <f t="shared" si="11"/>
        <v>4770</v>
      </c>
      <c r="F162">
        <f t="shared" si="8"/>
        <v>1123.6640887874994</v>
      </c>
      <c r="G162" t="str">
        <f t="shared" si="9"/>
        <v>SPLINE 4770,1123.6640887875</v>
      </c>
      <c r="H162">
        <f t="shared" si="10"/>
        <v>0.79500000000000004</v>
      </c>
    </row>
    <row r="163" spans="5:8" x14ac:dyDescent="0.3">
      <c r="E163">
        <f t="shared" si="11"/>
        <v>4800</v>
      </c>
      <c r="F163">
        <f t="shared" si="8"/>
        <v>1115.8400000000013</v>
      </c>
      <c r="G163" t="str">
        <f t="shared" si="9"/>
        <v>SPLINE 4800,1115.84</v>
      </c>
      <c r="H163">
        <f t="shared" si="10"/>
        <v>0.8</v>
      </c>
    </row>
    <row r="164" spans="5:8" x14ac:dyDescent="0.3">
      <c r="E164">
        <f t="shared" si="11"/>
        <v>4830</v>
      </c>
      <c r="F164">
        <f t="shared" si="8"/>
        <v>1108.3038887124985</v>
      </c>
      <c r="G164" t="str">
        <f t="shared" si="9"/>
        <v>SPLINE 4830,1108.3038887125</v>
      </c>
      <c r="H164">
        <f t="shared" si="10"/>
        <v>0.80500000000000005</v>
      </c>
    </row>
    <row r="165" spans="5:8" x14ac:dyDescent="0.3">
      <c r="E165">
        <f t="shared" si="11"/>
        <v>4860</v>
      </c>
      <c r="F165">
        <f t="shared" si="8"/>
        <v>1101.0550188000004</v>
      </c>
      <c r="G165" t="str">
        <f t="shared" si="9"/>
        <v>SPLINE 4860,1101.0550188</v>
      </c>
      <c r="H165">
        <f t="shared" si="10"/>
        <v>0.81</v>
      </c>
    </row>
    <row r="166" spans="5:8" x14ac:dyDescent="0.3">
      <c r="E166">
        <f t="shared" si="11"/>
        <v>4890</v>
      </c>
      <c r="F166">
        <f t="shared" si="8"/>
        <v>1094.0923796375</v>
      </c>
      <c r="G166" t="str">
        <f t="shared" si="9"/>
        <v>SPLINE 4890,1094.0923796375</v>
      </c>
      <c r="H166">
        <f t="shared" si="10"/>
        <v>0.81499999999999995</v>
      </c>
    </row>
    <row r="167" spans="5:8" x14ac:dyDescent="0.3">
      <c r="E167">
        <f t="shared" si="11"/>
        <v>4920</v>
      </c>
      <c r="F167">
        <f t="shared" si="8"/>
        <v>1087.4146816000002</v>
      </c>
      <c r="G167" t="str">
        <f t="shared" si="9"/>
        <v>SPLINE 4920,1087.4146816</v>
      </c>
      <c r="H167">
        <f t="shared" si="10"/>
        <v>0.82</v>
      </c>
    </row>
    <row r="168" spans="5:8" x14ac:dyDescent="0.3">
      <c r="E168">
        <f t="shared" si="11"/>
        <v>4950</v>
      </c>
      <c r="F168">
        <f t="shared" si="8"/>
        <v>1081.0203515624969</v>
      </c>
      <c r="G168" t="str">
        <f t="shared" si="9"/>
        <v>SPLINE 4950,1081.0203515625</v>
      </c>
      <c r="H168">
        <f t="shared" si="10"/>
        <v>0.82499999999999996</v>
      </c>
    </row>
    <row r="169" spans="5:8" x14ac:dyDescent="0.3">
      <c r="E169">
        <f t="shared" si="11"/>
        <v>4980</v>
      </c>
      <c r="F169">
        <f t="shared" si="8"/>
        <v>1074.9075284000007</v>
      </c>
      <c r="G169" t="str">
        <f t="shared" si="9"/>
        <v>SPLINE 4980,1074.9075284</v>
      </c>
      <c r="H169">
        <f t="shared" si="10"/>
        <v>0.83</v>
      </c>
    </row>
    <row r="170" spans="5:8" x14ac:dyDescent="0.3">
      <c r="E170">
        <f t="shared" si="11"/>
        <v>5010</v>
      </c>
      <c r="F170">
        <f t="shared" si="8"/>
        <v>1069.0740584874998</v>
      </c>
      <c r="G170" t="str">
        <f t="shared" si="9"/>
        <v>SPLINE 5010,1069.0740584875</v>
      </c>
      <c r="H170">
        <f t="shared" si="10"/>
        <v>0.83499999999999996</v>
      </c>
    </row>
    <row r="171" spans="5:8" x14ac:dyDescent="0.3">
      <c r="E171">
        <f t="shared" si="11"/>
        <v>5040</v>
      </c>
      <c r="F171">
        <f t="shared" si="8"/>
        <v>1063.5174912000007</v>
      </c>
      <c r="G171" t="str">
        <f t="shared" si="9"/>
        <v>SPLINE 5040,1063.5174912</v>
      </c>
      <c r="H171">
        <f t="shared" si="10"/>
        <v>0.84</v>
      </c>
    </row>
    <row r="172" spans="5:8" x14ac:dyDescent="0.3">
      <c r="E172">
        <f t="shared" si="11"/>
        <v>5070</v>
      </c>
      <c r="F172">
        <f t="shared" si="8"/>
        <v>1058.2350744124999</v>
      </c>
      <c r="G172" t="str">
        <f t="shared" si="9"/>
        <v>SPLINE 5070,1058.2350744125</v>
      </c>
      <c r="H172">
        <f t="shared" si="10"/>
        <v>0.84499999999999997</v>
      </c>
    </row>
    <row r="173" spans="5:8" x14ac:dyDescent="0.3">
      <c r="E173">
        <f t="shared" si="11"/>
        <v>5100</v>
      </c>
      <c r="F173">
        <f t="shared" si="8"/>
        <v>1053.2237499999999</v>
      </c>
      <c r="G173" t="str">
        <f t="shared" si="9"/>
        <v>SPLINE 5100,1053.22375</v>
      </c>
      <c r="H173">
        <f t="shared" si="10"/>
        <v>0.85</v>
      </c>
    </row>
    <row r="174" spans="5:8" x14ac:dyDescent="0.3">
      <c r="E174">
        <f t="shared" si="11"/>
        <v>5130</v>
      </c>
      <c r="F174">
        <f t="shared" si="8"/>
        <v>1048.4801493375003</v>
      </c>
      <c r="G174" t="str">
        <f t="shared" si="9"/>
        <v>SPLINE 5130,1048.4801493375</v>
      </c>
      <c r="H174">
        <f t="shared" si="10"/>
        <v>0.85499999999999998</v>
      </c>
    </row>
    <row r="175" spans="5:8" x14ac:dyDescent="0.3">
      <c r="E175">
        <f t="shared" si="11"/>
        <v>5160</v>
      </c>
      <c r="F175">
        <f t="shared" si="8"/>
        <v>1044.000588799996</v>
      </c>
      <c r="G175" t="str">
        <f t="shared" si="9"/>
        <v>SPLINE 5160,1044.0005888</v>
      </c>
      <c r="H175">
        <f t="shared" si="10"/>
        <v>0.86</v>
      </c>
    </row>
    <row r="176" spans="5:8" x14ac:dyDescent="0.3">
      <c r="E176">
        <f t="shared" si="11"/>
        <v>5190</v>
      </c>
      <c r="F176">
        <f t="shared" si="8"/>
        <v>1039.7810652624973</v>
      </c>
      <c r="G176" t="str">
        <f t="shared" si="9"/>
        <v>SPLINE 5190,1039.7810652625</v>
      </c>
      <c r="H176">
        <f t="shared" si="10"/>
        <v>0.86499999999999999</v>
      </c>
    </row>
    <row r="177" spans="5:8" x14ac:dyDescent="0.3">
      <c r="E177">
        <f t="shared" si="11"/>
        <v>5220</v>
      </c>
      <c r="F177">
        <f t="shared" si="8"/>
        <v>1035.8172516000002</v>
      </c>
      <c r="G177" t="str">
        <f t="shared" si="9"/>
        <v>SPLINE 5220,1035.8172516</v>
      </c>
      <c r="H177">
        <f t="shared" si="10"/>
        <v>0.87</v>
      </c>
    </row>
    <row r="178" spans="5:8" x14ac:dyDescent="0.3">
      <c r="E178">
        <f t="shared" si="11"/>
        <v>5250</v>
      </c>
      <c r="F178">
        <f t="shared" si="8"/>
        <v>1032.1044921875</v>
      </c>
      <c r="G178" t="str">
        <f t="shared" si="9"/>
        <v>SPLINE 5250,1032.1044921875</v>
      </c>
      <c r="H178">
        <f t="shared" si="10"/>
        <v>0.875</v>
      </c>
    </row>
    <row r="179" spans="5:8" x14ac:dyDescent="0.3">
      <c r="E179">
        <f t="shared" si="11"/>
        <v>5280</v>
      </c>
      <c r="F179">
        <f t="shared" si="8"/>
        <v>1028.6377984000019</v>
      </c>
      <c r="G179" t="str">
        <f t="shared" si="9"/>
        <v>SPLINE 5280,1028.6377984</v>
      </c>
      <c r="H179">
        <f t="shared" si="10"/>
        <v>0.88</v>
      </c>
    </row>
    <row r="180" spans="5:8" x14ac:dyDescent="0.3">
      <c r="E180">
        <f t="shared" si="11"/>
        <v>5310</v>
      </c>
      <c r="F180">
        <f t="shared" si="8"/>
        <v>1025.4118441125017</v>
      </c>
      <c r="G180" t="str">
        <f t="shared" si="9"/>
        <v>SPLINE 5310,1025.4118441125</v>
      </c>
      <c r="H180">
        <f t="shared" si="10"/>
        <v>0.88500000000000001</v>
      </c>
    </row>
    <row r="181" spans="5:8" x14ac:dyDescent="0.3">
      <c r="E181">
        <f t="shared" si="11"/>
        <v>5340</v>
      </c>
      <c r="F181">
        <f t="shared" si="8"/>
        <v>1022.4209612000018</v>
      </c>
      <c r="G181" t="str">
        <f t="shared" si="9"/>
        <v>SPLINE 5340,1022.4209612</v>
      </c>
      <c r="H181">
        <f t="shared" si="10"/>
        <v>0.89</v>
      </c>
    </row>
    <row r="182" spans="5:8" x14ac:dyDescent="0.3">
      <c r="E182">
        <f t="shared" si="11"/>
        <v>5370</v>
      </c>
      <c r="F182">
        <f t="shared" si="8"/>
        <v>1019.659135037502</v>
      </c>
      <c r="G182" t="str">
        <f t="shared" si="9"/>
        <v>SPLINE 5370,1019.6591350375</v>
      </c>
      <c r="H182">
        <f t="shared" si="10"/>
        <v>0.89500000000000002</v>
      </c>
    </row>
    <row r="183" spans="5:8" x14ac:dyDescent="0.3">
      <c r="E183">
        <f t="shared" si="11"/>
        <v>5400</v>
      </c>
      <c r="F183">
        <f t="shared" si="8"/>
        <v>1017.1199999999994</v>
      </c>
      <c r="G183" t="str">
        <f t="shared" si="9"/>
        <v>SPLINE 5400,1017.12</v>
      </c>
      <c r="H183">
        <f t="shared" si="10"/>
        <v>0.9</v>
      </c>
    </row>
    <row r="184" spans="5:8" x14ac:dyDescent="0.3">
      <c r="E184">
        <f t="shared" si="11"/>
        <v>5430</v>
      </c>
      <c r="F184">
        <f t="shared" si="8"/>
        <v>1014.7968349625014</v>
      </c>
      <c r="G184" t="str">
        <f t="shared" si="9"/>
        <v>SPLINE 5430,1014.7968349625</v>
      </c>
      <c r="H184">
        <f t="shared" si="10"/>
        <v>0.90500000000000003</v>
      </c>
    </row>
    <row r="185" spans="5:8" x14ac:dyDescent="0.3">
      <c r="E185">
        <f t="shared" si="11"/>
        <v>5460</v>
      </c>
      <c r="F185">
        <f t="shared" si="8"/>
        <v>1012.6825587999999</v>
      </c>
      <c r="G185" t="str">
        <f t="shared" si="9"/>
        <v>SPLINE 5460,1012.6825588</v>
      </c>
      <c r="H185">
        <f t="shared" si="10"/>
        <v>0.91</v>
      </c>
    </row>
    <row r="186" spans="5:8" x14ac:dyDescent="0.3">
      <c r="E186">
        <f t="shared" si="11"/>
        <v>5490</v>
      </c>
      <c r="F186">
        <f t="shared" si="8"/>
        <v>1010.769725887501</v>
      </c>
      <c r="G186" t="str">
        <f t="shared" si="9"/>
        <v>SPLINE 5490,1010.7697258875</v>
      </c>
      <c r="H186">
        <f t="shared" si="10"/>
        <v>0.91500000000000004</v>
      </c>
    </row>
    <row r="187" spans="5:8" x14ac:dyDescent="0.3">
      <c r="E187">
        <f t="shared" si="11"/>
        <v>5520</v>
      </c>
      <c r="F187">
        <f t="shared" si="8"/>
        <v>1009.0505216000008</v>
      </c>
      <c r="G187" t="str">
        <f t="shared" si="9"/>
        <v>SPLINE 5520,1009.0505216</v>
      </c>
      <c r="H187">
        <f t="shared" si="10"/>
        <v>0.92</v>
      </c>
    </row>
    <row r="188" spans="5:8" x14ac:dyDescent="0.3">
      <c r="E188">
        <f t="shared" si="11"/>
        <v>5550</v>
      </c>
      <c r="F188">
        <f t="shared" si="8"/>
        <v>1007.5167578124997</v>
      </c>
      <c r="G188" t="str">
        <f t="shared" si="9"/>
        <v>SPLINE 5550,1007.5167578125</v>
      </c>
      <c r="H188">
        <f t="shared" si="10"/>
        <v>0.92500000000000004</v>
      </c>
    </row>
    <row r="189" spans="5:8" x14ac:dyDescent="0.3">
      <c r="E189">
        <f t="shared" si="11"/>
        <v>5580</v>
      </c>
      <c r="F189">
        <f t="shared" si="8"/>
        <v>1006.159868400001</v>
      </c>
      <c r="G189" t="str">
        <f t="shared" si="9"/>
        <v>SPLINE 5580,1006.1598684</v>
      </c>
      <c r="H189">
        <f t="shared" si="10"/>
        <v>0.93</v>
      </c>
    </row>
    <row r="190" spans="5:8" x14ac:dyDescent="0.3">
      <c r="E190">
        <f t="shared" si="11"/>
        <v>5610</v>
      </c>
      <c r="F190">
        <f t="shared" si="8"/>
        <v>1004.9709047374993</v>
      </c>
      <c r="G190" t="str">
        <f t="shared" si="9"/>
        <v>SPLINE 5610,1004.9709047375</v>
      </c>
      <c r="H190">
        <f t="shared" si="10"/>
        <v>0.93500000000000005</v>
      </c>
    </row>
    <row r="191" spans="5:8" x14ac:dyDescent="0.3">
      <c r="E191">
        <f t="shared" si="11"/>
        <v>5640</v>
      </c>
      <c r="F191">
        <f t="shared" si="8"/>
        <v>1003.9405312000031</v>
      </c>
      <c r="G191" t="str">
        <f t="shared" si="9"/>
        <v>SPLINE 5640,1003.9405312</v>
      </c>
      <c r="H191">
        <f t="shared" si="10"/>
        <v>0.94</v>
      </c>
    </row>
    <row r="192" spans="5:8" x14ac:dyDescent="0.3">
      <c r="E192">
        <f t="shared" si="11"/>
        <v>5670</v>
      </c>
      <c r="F192">
        <f t="shared" si="8"/>
        <v>1003.0590206624997</v>
      </c>
      <c r="G192" t="str">
        <f t="shared" si="9"/>
        <v>SPLINE 5670,1003.0590206625</v>
      </c>
      <c r="H192">
        <f t="shared" si="10"/>
        <v>0.94499999999999995</v>
      </c>
    </row>
    <row r="193" spans="5:8" x14ac:dyDescent="0.3">
      <c r="E193">
        <f t="shared" si="11"/>
        <v>5700</v>
      </c>
      <c r="F193">
        <f t="shared" si="8"/>
        <v>1002.3162499999999</v>
      </c>
      <c r="G193" t="str">
        <f t="shared" si="9"/>
        <v>SPLINE 5700,1002.31625</v>
      </c>
      <c r="H193">
        <f t="shared" si="10"/>
        <v>0.95</v>
      </c>
    </row>
    <row r="194" spans="5:8" x14ac:dyDescent="0.3">
      <c r="E194">
        <f t="shared" si="11"/>
        <v>5730</v>
      </c>
      <c r="F194">
        <f t="shared" si="8"/>
        <v>1001.7016955875029</v>
      </c>
      <c r="G194" t="str">
        <f t="shared" si="9"/>
        <v>SPLINE 5730,1001.7016955875</v>
      </c>
      <c r="H194">
        <f t="shared" si="10"/>
        <v>0.95499999999999996</v>
      </c>
    </row>
    <row r="195" spans="5:8" x14ac:dyDescent="0.3">
      <c r="E195">
        <f t="shared" si="11"/>
        <v>5760</v>
      </c>
      <c r="F195">
        <f t="shared" si="8"/>
        <v>1001.2044287999977</v>
      </c>
      <c r="G195" t="str">
        <f t="shared" si="9"/>
        <v>SPLINE 5760,1001.2044288</v>
      </c>
      <c r="H195">
        <f t="shared" si="10"/>
        <v>0.96</v>
      </c>
    </row>
    <row r="196" spans="5:8" x14ac:dyDescent="0.3">
      <c r="E196">
        <f t="shared" si="11"/>
        <v>5790</v>
      </c>
      <c r="F196">
        <f t="shared" ref="F196:F203" si="12">((-10*(H196^3)+15*(H196^4)-6*(H196^5))*($B$3-$C$3))+$B$3</f>
        <v>1000.8131115124997</v>
      </c>
      <c r="G196" t="str">
        <f t="shared" ref="G196:G203" si="13">CONCATENATE("SPLINE ",$E196,",",$F196)</f>
        <v>SPLINE 5790,1000.8131115125</v>
      </c>
      <c r="H196">
        <f t="shared" ref="H196:H203" si="14">E196/$D$3</f>
        <v>0.96499999999999997</v>
      </c>
    </row>
    <row r="197" spans="5:8" x14ac:dyDescent="0.3">
      <c r="E197">
        <f t="shared" ref="E197:E203" si="15">E196+($D$3/200)</f>
        <v>5820</v>
      </c>
      <c r="F197">
        <f t="shared" si="12"/>
        <v>1000.5159916000005</v>
      </c>
      <c r="G197" t="str">
        <f t="shared" si="13"/>
        <v>SPLINE 5820,1000.5159916</v>
      </c>
      <c r="H197">
        <f t="shared" si="14"/>
        <v>0.97</v>
      </c>
    </row>
    <row r="198" spans="5:8" x14ac:dyDescent="0.3">
      <c r="E198">
        <f t="shared" si="15"/>
        <v>5850</v>
      </c>
      <c r="F198">
        <f t="shared" si="12"/>
        <v>1000.3008984375015</v>
      </c>
      <c r="G198" t="str">
        <f t="shared" si="13"/>
        <v>SPLINE 5850,1000.3008984375</v>
      </c>
      <c r="H198">
        <f t="shared" si="14"/>
        <v>0.97499999999999998</v>
      </c>
    </row>
    <row r="199" spans="5:8" x14ac:dyDescent="0.3">
      <c r="E199">
        <f t="shared" si="15"/>
        <v>5880</v>
      </c>
      <c r="F199">
        <f t="shared" si="12"/>
        <v>1000.1552384000015</v>
      </c>
      <c r="G199" t="str">
        <f t="shared" si="13"/>
        <v>SPLINE 5880,1000.1552384</v>
      </c>
      <c r="H199">
        <f t="shared" si="14"/>
        <v>0.98</v>
      </c>
    </row>
    <row r="200" spans="5:8" x14ac:dyDescent="0.3">
      <c r="E200">
        <f t="shared" si="15"/>
        <v>5910</v>
      </c>
      <c r="F200">
        <f t="shared" si="12"/>
        <v>1000.065990362499</v>
      </c>
      <c r="G200" t="str">
        <f t="shared" si="13"/>
        <v>SPLINE 5910,1000.0659903625</v>
      </c>
      <c r="H200">
        <f t="shared" si="14"/>
        <v>0.98499999999999999</v>
      </c>
    </row>
    <row r="201" spans="5:8" x14ac:dyDescent="0.3">
      <c r="E201">
        <f t="shared" si="15"/>
        <v>5940</v>
      </c>
      <c r="F201">
        <f t="shared" si="12"/>
        <v>1000.0197011999994</v>
      </c>
      <c r="G201" t="str">
        <f t="shared" si="13"/>
        <v>SPLINE 5940,1000.0197012</v>
      </c>
      <c r="H201">
        <f t="shared" si="14"/>
        <v>0.99</v>
      </c>
    </row>
    <row r="202" spans="5:8" x14ac:dyDescent="0.3">
      <c r="E202">
        <f t="shared" si="15"/>
        <v>5970</v>
      </c>
      <c r="F202">
        <f t="shared" si="12"/>
        <v>1000.002481287499</v>
      </c>
      <c r="G202" t="str">
        <f t="shared" si="13"/>
        <v>SPLINE 5970,1000.0024812875</v>
      </c>
      <c r="H202">
        <f t="shared" si="14"/>
        <v>0.995</v>
      </c>
    </row>
    <row r="203" spans="5:8" x14ac:dyDescent="0.3">
      <c r="E203">
        <f t="shared" si="15"/>
        <v>6000</v>
      </c>
      <c r="F203">
        <f t="shared" si="12"/>
        <v>1000</v>
      </c>
      <c r="G203" t="str">
        <f t="shared" si="13"/>
        <v>SPLINE 6000,1000</v>
      </c>
      <c r="H203">
        <f t="shared" si="14"/>
        <v>1</v>
      </c>
    </row>
  </sheetData>
  <sheetProtection algorithmName="SHA-512" hashValue="Ha92E1JlWihID3lnpXsj+0subHC9NH9dv8XrGFWXVpR7100/gQv4HjvbDdu2uRPa4K3MLGoK3c1/1Yub9Gkgkw==" saltValue="VI0EkWd3dH6ooxE0d6fCS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6345-0618-4961-A091-DEFCC731C62E}">
  <sheetPr codeName="Sheet5"/>
  <dimension ref="A1:M203"/>
  <sheetViews>
    <sheetView zoomScaleNormal="100" workbookViewId="0">
      <selection activeCell="D12" sqref="D12"/>
    </sheetView>
  </sheetViews>
  <sheetFormatPr defaultColWidth="0" defaultRowHeight="16.5" zeroHeight="1" x14ac:dyDescent="0.3"/>
  <cols>
    <col min="1" max="6" width="9" customWidth="1"/>
    <col min="7" max="7" width="29.625" bestFit="1" customWidth="1"/>
    <col min="8" max="8" width="9" hidden="1" customWidth="1"/>
    <col min="9" max="9" width="28.625" hidden="1" customWidth="1"/>
    <col min="10" max="10" width="9" hidden="1" customWidth="1"/>
    <col min="11" max="13" width="0" hidden="1" customWidth="1"/>
    <col min="14" max="16384" width="9" hidden="1"/>
  </cols>
  <sheetData>
    <row r="1" spans="1:7" x14ac:dyDescent="0.3">
      <c r="A1" s="3" t="s">
        <v>7</v>
      </c>
    </row>
    <row r="2" spans="1:7" x14ac:dyDescent="0.3">
      <c r="A2" t="s">
        <v>38</v>
      </c>
      <c r="B2" t="s">
        <v>43</v>
      </c>
      <c r="C2" t="s">
        <v>44</v>
      </c>
      <c r="D2" t="s">
        <v>2</v>
      </c>
      <c r="E2" t="s">
        <v>29</v>
      </c>
      <c r="F2" t="s">
        <v>42</v>
      </c>
    </row>
    <row r="3" spans="1:7" x14ac:dyDescent="0.3">
      <c r="A3">
        <f>D3/2</f>
        <v>5000</v>
      </c>
      <c r="B3">
        <v>10000</v>
      </c>
      <c r="C3">
        <v>4000</v>
      </c>
      <c r="D3">
        <v>10000</v>
      </c>
      <c r="E3">
        <v>0</v>
      </c>
      <c r="F3">
        <v>5000</v>
      </c>
      <c r="G3" t="str">
        <f t="shared" ref="G3:G66" si="0">CONCATENATE("SPLINE ",$E3,",",$F3)</f>
        <v>SPLINE 0,5000</v>
      </c>
    </row>
    <row r="4" spans="1:7" x14ac:dyDescent="0.3">
      <c r="E4">
        <v>50</v>
      </c>
      <c r="F4">
        <v>4999.9961999999996</v>
      </c>
      <c r="G4" t="str">
        <f t="shared" si="0"/>
        <v>SPLINE 50,4999.9962</v>
      </c>
    </row>
    <row r="5" spans="1:7" x14ac:dyDescent="0.3">
      <c r="E5">
        <v>100</v>
      </c>
      <c r="F5">
        <v>4999.9704000000002</v>
      </c>
      <c r="G5" t="str">
        <f t="shared" si="0"/>
        <v>SPLINE 100,4999.9704</v>
      </c>
    </row>
    <row r="6" spans="1:7" x14ac:dyDescent="0.3">
      <c r="E6">
        <v>150</v>
      </c>
      <c r="F6">
        <v>4999.9009999999998</v>
      </c>
      <c r="G6" t="str">
        <f t="shared" si="0"/>
        <v>SPLINE 150,4999.901</v>
      </c>
    </row>
    <row r="7" spans="1:7" x14ac:dyDescent="0.3">
      <c r="E7">
        <v>200</v>
      </c>
      <c r="F7">
        <v>4999.7671</v>
      </c>
      <c r="G7" t="str">
        <f t="shared" si="0"/>
        <v>SPLINE 200,4999.7671</v>
      </c>
    </row>
    <row r="8" spans="1:7" x14ac:dyDescent="0.3">
      <c r="E8">
        <v>250</v>
      </c>
      <c r="F8">
        <v>4999.5486000000001</v>
      </c>
      <c r="G8" t="str">
        <f t="shared" si="0"/>
        <v>SPLINE 250,4999.5486</v>
      </c>
    </row>
    <row r="9" spans="1:7" x14ac:dyDescent="0.3">
      <c r="E9">
        <v>300</v>
      </c>
      <c r="F9">
        <v>4999.2259999999997</v>
      </c>
      <c r="G9" t="str">
        <f t="shared" si="0"/>
        <v>SPLINE 300,4999.226</v>
      </c>
    </row>
    <row r="10" spans="1:7" x14ac:dyDescent="0.3">
      <c r="E10">
        <v>350</v>
      </c>
      <c r="F10">
        <v>4998.7803000000004</v>
      </c>
      <c r="G10" t="str">
        <f t="shared" si="0"/>
        <v>SPLINE 350,4998.7803</v>
      </c>
    </row>
    <row r="11" spans="1:7" x14ac:dyDescent="0.3">
      <c r="E11">
        <v>400</v>
      </c>
      <c r="F11">
        <v>4998.1932999999999</v>
      </c>
      <c r="G11" t="str">
        <f t="shared" si="0"/>
        <v>SPLINE 400,4998.1933</v>
      </c>
    </row>
    <row r="12" spans="1:7" x14ac:dyDescent="0.3">
      <c r="E12">
        <v>450</v>
      </c>
      <c r="F12">
        <v>4997.4474</v>
      </c>
      <c r="G12" t="str">
        <f t="shared" si="0"/>
        <v>SPLINE 450,4997.4474</v>
      </c>
    </row>
    <row r="13" spans="1:7" x14ac:dyDescent="0.3">
      <c r="E13">
        <v>500</v>
      </c>
      <c r="F13">
        <v>4996.5255999999999</v>
      </c>
      <c r="G13" t="str">
        <f t="shared" si="0"/>
        <v>SPLINE 500,4996.5256</v>
      </c>
    </row>
    <row r="14" spans="1:7" x14ac:dyDescent="0.3">
      <c r="E14">
        <v>550</v>
      </c>
      <c r="F14">
        <v>4995.4114</v>
      </c>
      <c r="G14" t="str">
        <f t="shared" si="0"/>
        <v>SPLINE 550,4995.4114</v>
      </c>
    </row>
    <row r="15" spans="1:7" x14ac:dyDescent="0.3">
      <c r="E15">
        <v>600</v>
      </c>
      <c r="F15">
        <v>4994.0892000000003</v>
      </c>
      <c r="G15" t="str">
        <f t="shared" si="0"/>
        <v>SPLINE 600,4994.0892</v>
      </c>
    </row>
    <row r="16" spans="1:7" x14ac:dyDescent="0.3">
      <c r="E16">
        <v>650</v>
      </c>
      <c r="F16">
        <v>4992.5436</v>
      </c>
      <c r="G16" t="str">
        <f t="shared" si="0"/>
        <v>SPLINE 650,4992.5436</v>
      </c>
    </row>
    <row r="17" spans="5:13" x14ac:dyDescent="0.3">
      <c r="E17">
        <v>700</v>
      </c>
      <c r="F17">
        <v>4990.7601000000004</v>
      </c>
      <c r="G17" t="str">
        <f t="shared" si="0"/>
        <v>SPLINE 700,4990.7601</v>
      </c>
    </row>
    <row r="18" spans="5:13" x14ac:dyDescent="0.3">
      <c r="E18">
        <v>750</v>
      </c>
      <c r="F18">
        <v>4988.7248</v>
      </c>
      <c r="G18" t="str">
        <f t="shared" si="0"/>
        <v>SPLINE 750,4988.7248</v>
      </c>
    </row>
    <row r="19" spans="5:13" x14ac:dyDescent="0.3">
      <c r="E19">
        <v>800</v>
      </c>
      <c r="F19">
        <v>4986.4242000000004</v>
      </c>
      <c r="G19" t="str">
        <f t="shared" si="0"/>
        <v>SPLINE 800,4986.4242</v>
      </c>
    </row>
    <row r="20" spans="5:13" x14ac:dyDescent="0.3">
      <c r="E20">
        <v>850</v>
      </c>
      <c r="F20">
        <v>4983.8454000000002</v>
      </c>
      <c r="G20" t="str">
        <f t="shared" si="0"/>
        <v>SPLINE 850,4983.8454</v>
      </c>
    </row>
    <row r="21" spans="5:13" x14ac:dyDescent="0.3">
      <c r="E21">
        <v>900</v>
      </c>
      <c r="F21">
        <v>4980.9760999999999</v>
      </c>
      <c r="G21" t="str">
        <f t="shared" si="0"/>
        <v>SPLINE 900,4980.9761</v>
      </c>
    </row>
    <row r="22" spans="5:13" x14ac:dyDescent="0.3">
      <c r="E22">
        <v>950</v>
      </c>
      <c r="F22">
        <v>4977.8046999999997</v>
      </c>
      <c r="G22" t="str">
        <f t="shared" si="0"/>
        <v>SPLINE 950,4977.8047</v>
      </c>
    </row>
    <row r="23" spans="5:13" x14ac:dyDescent="0.3">
      <c r="E23">
        <v>1000</v>
      </c>
      <c r="F23">
        <v>4974.32</v>
      </c>
      <c r="G23" t="str">
        <f t="shared" si="0"/>
        <v>SPLINE 1000,4974.32</v>
      </c>
    </row>
    <row r="24" spans="5:13" x14ac:dyDescent="0.3">
      <c r="E24">
        <v>1050</v>
      </c>
      <c r="F24">
        <v>4970.5111999999999</v>
      </c>
      <c r="G24" t="str">
        <f t="shared" si="0"/>
        <v>SPLINE 1050,4970.5112</v>
      </c>
    </row>
    <row r="25" spans="5:13" x14ac:dyDescent="0.3">
      <c r="E25">
        <v>1100</v>
      </c>
      <c r="F25">
        <v>4966.3684999999996</v>
      </c>
      <c r="G25" t="str">
        <f t="shared" si="0"/>
        <v>SPLINE 1100,4966.3685</v>
      </c>
      <c r="M25" t="s">
        <v>5</v>
      </c>
    </row>
    <row r="26" spans="5:13" x14ac:dyDescent="0.3">
      <c r="E26">
        <v>1150</v>
      </c>
      <c r="F26">
        <v>4961.8822</v>
      </c>
      <c r="G26" t="str">
        <f t="shared" si="0"/>
        <v>SPLINE 1150,4961.8822</v>
      </c>
    </row>
    <row r="27" spans="5:13" x14ac:dyDescent="0.3">
      <c r="E27">
        <v>1200</v>
      </c>
      <c r="F27">
        <v>4957.0433000000003</v>
      </c>
      <c r="G27" t="str">
        <f t="shared" si="0"/>
        <v>SPLINE 1200,4957.0433</v>
      </c>
    </row>
    <row r="28" spans="5:13" x14ac:dyDescent="0.3">
      <c r="E28">
        <v>1250</v>
      </c>
      <c r="F28">
        <v>4951.8432000000003</v>
      </c>
      <c r="G28" t="str">
        <f t="shared" si="0"/>
        <v>SPLINE 1250,4951.8432</v>
      </c>
    </row>
    <row r="29" spans="5:13" x14ac:dyDescent="0.3">
      <c r="E29">
        <v>1300</v>
      </c>
      <c r="F29">
        <v>4946.2740999999996</v>
      </c>
      <c r="G29" t="str">
        <f t="shared" si="0"/>
        <v>SPLINE 1300,4946.2741</v>
      </c>
    </row>
    <row r="30" spans="5:13" x14ac:dyDescent="0.3">
      <c r="E30">
        <v>1350</v>
      </c>
      <c r="F30">
        <v>4940.3284000000003</v>
      </c>
      <c r="G30" t="str">
        <f t="shared" si="0"/>
        <v>SPLINE 1350,4940.3284</v>
      </c>
    </row>
    <row r="31" spans="5:13" x14ac:dyDescent="0.3">
      <c r="E31">
        <v>1400</v>
      </c>
      <c r="F31">
        <v>4933.9991</v>
      </c>
      <c r="G31" t="str">
        <f t="shared" si="0"/>
        <v>SPLINE 1400,4933.9991</v>
      </c>
    </row>
    <row r="32" spans="5:13" x14ac:dyDescent="0.3">
      <c r="E32">
        <v>1450</v>
      </c>
      <c r="F32">
        <v>4927.2797</v>
      </c>
      <c r="G32" t="str">
        <f t="shared" si="0"/>
        <v>SPLINE 1450,4927.2797</v>
      </c>
    </row>
    <row r="33" spans="5:7" x14ac:dyDescent="0.3">
      <c r="E33">
        <v>1500</v>
      </c>
      <c r="F33">
        <v>4920.1643000000004</v>
      </c>
      <c r="G33" t="str">
        <f t="shared" si="0"/>
        <v>SPLINE 1500,4920.1643</v>
      </c>
    </row>
    <row r="34" spans="5:7" x14ac:dyDescent="0.3">
      <c r="E34">
        <v>1550</v>
      </c>
      <c r="F34">
        <v>4912.6472999999996</v>
      </c>
      <c r="G34" t="str">
        <f t="shared" si="0"/>
        <v>SPLINE 1550,4912.6473</v>
      </c>
    </row>
    <row r="35" spans="5:7" x14ac:dyDescent="0.3">
      <c r="E35">
        <v>1600</v>
      </c>
      <c r="F35">
        <v>4904.7236999999996</v>
      </c>
      <c r="G35" t="str">
        <f t="shared" si="0"/>
        <v>SPLINE 1600,4904.7237</v>
      </c>
    </row>
    <row r="36" spans="5:7" x14ac:dyDescent="0.3">
      <c r="E36">
        <v>1650</v>
      </c>
      <c r="F36">
        <v>4896.3888999999999</v>
      </c>
      <c r="G36" t="str">
        <f t="shared" si="0"/>
        <v>SPLINE 1650,4896.3889</v>
      </c>
    </row>
    <row r="37" spans="5:7" x14ac:dyDescent="0.3">
      <c r="E37">
        <v>1700</v>
      </c>
      <c r="F37">
        <v>4887.6387000000004</v>
      </c>
      <c r="G37" t="str">
        <f t="shared" si="0"/>
        <v>SPLINE 1700,4887.6387</v>
      </c>
    </row>
    <row r="38" spans="5:7" x14ac:dyDescent="0.3">
      <c r="E38">
        <v>1750</v>
      </c>
      <c r="F38">
        <v>4878.4694</v>
      </c>
      <c r="G38" t="str">
        <f t="shared" si="0"/>
        <v>SPLINE 1750,4878.4694</v>
      </c>
    </row>
    <row r="39" spans="5:7" x14ac:dyDescent="0.3">
      <c r="E39">
        <v>1800</v>
      </c>
      <c r="F39">
        <v>4868.8779000000004</v>
      </c>
      <c r="G39" t="str">
        <f t="shared" si="0"/>
        <v>SPLINE 1800,4868.8779</v>
      </c>
    </row>
    <row r="40" spans="5:7" x14ac:dyDescent="0.3">
      <c r="E40">
        <v>1850</v>
      </c>
      <c r="F40">
        <v>4858.8613999999998</v>
      </c>
      <c r="G40" t="str">
        <f t="shared" si="0"/>
        <v>SPLINE 1850,4858.8614</v>
      </c>
    </row>
    <row r="41" spans="5:7" x14ac:dyDescent="0.3">
      <c r="E41">
        <v>1900</v>
      </c>
      <c r="F41">
        <v>4848.4174000000003</v>
      </c>
      <c r="G41" t="str">
        <f t="shared" si="0"/>
        <v>SPLINE 1900,4848.4174</v>
      </c>
    </row>
    <row r="42" spans="5:7" x14ac:dyDescent="0.3">
      <c r="E42">
        <v>1950</v>
      </c>
      <c r="F42">
        <v>4837.5441000000001</v>
      </c>
      <c r="G42" t="str">
        <f t="shared" si="0"/>
        <v>SPLINE 1950,4837.5441</v>
      </c>
    </row>
    <row r="43" spans="5:7" x14ac:dyDescent="0.3">
      <c r="E43">
        <v>2000</v>
      </c>
      <c r="F43">
        <v>4826.24</v>
      </c>
      <c r="G43" t="str">
        <f t="shared" si="0"/>
        <v>SPLINE 2000,4826.24</v>
      </c>
    </row>
    <row r="44" spans="5:7" x14ac:dyDescent="0.3">
      <c r="E44">
        <v>2050</v>
      </c>
      <c r="F44">
        <v>4814.5038000000004</v>
      </c>
      <c r="G44" t="str">
        <f t="shared" si="0"/>
        <v>SPLINE 2050,4814.5038</v>
      </c>
    </row>
    <row r="45" spans="5:7" x14ac:dyDescent="0.3">
      <c r="E45">
        <v>2100</v>
      </c>
      <c r="F45">
        <v>4802.335</v>
      </c>
      <c r="G45" t="str">
        <f t="shared" si="0"/>
        <v>SPLINE 2100,4802.335</v>
      </c>
    </row>
    <row r="46" spans="5:7" x14ac:dyDescent="0.3">
      <c r="E46">
        <v>2150</v>
      </c>
      <c r="F46">
        <v>4789.7332999999999</v>
      </c>
      <c r="G46" t="str">
        <f t="shared" si="0"/>
        <v>SPLINE 2150,4789.7333</v>
      </c>
    </row>
    <row r="47" spans="5:7" x14ac:dyDescent="0.3">
      <c r="E47">
        <v>2200</v>
      </c>
      <c r="F47">
        <v>4776.6985999999997</v>
      </c>
      <c r="G47" t="str">
        <f t="shared" si="0"/>
        <v>SPLINE 2200,4776.6986</v>
      </c>
    </row>
    <row r="48" spans="5:7" x14ac:dyDescent="0.3">
      <c r="E48">
        <v>2250</v>
      </c>
      <c r="F48">
        <v>4763.2316000000001</v>
      </c>
      <c r="G48" t="str">
        <f t="shared" si="0"/>
        <v>SPLINE 2250,4763.2316</v>
      </c>
    </row>
    <row r="49" spans="5:7" x14ac:dyDescent="0.3">
      <c r="E49">
        <v>2300</v>
      </c>
      <c r="F49">
        <v>4749.3329999999996</v>
      </c>
      <c r="G49" t="str">
        <f t="shared" si="0"/>
        <v>SPLINE 2300,4749.333</v>
      </c>
    </row>
    <row r="50" spans="5:7" x14ac:dyDescent="0.3">
      <c r="E50">
        <v>2350</v>
      </c>
      <c r="F50">
        <v>4735.0041000000001</v>
      </c>
      <c r="G50" t="str">
        <f t="shared" si="0"/>
        <v>SPLINE 2350,4735.0041</v>
      </c>
    </row>
    <row r="51" spans="5:7" x14ac:dyDescent="0.3">
      <c r="E51">
        <v>2400</v>
      </c>
      <c r="F51">
        <v>4720.2464</v>
      </c>
      <c r="G51" t="str">
        <f t="shared" si="0"/>
        <v>SPLINE 2400,4720.2464</v>
      </c>
    </row>
    <row r="52" spans="5:7" x14ac:dyDescent="0.3">
      <c r="E52">
        <v>2450</v>
      </c>
      <c r="F52">
        <v>4705.0619999999999</v>
      </c>
      <c r="G52" t="str">
        <f t="shared" si="0"/>
        <v>SPLINE 2450,4705.062</v>
      </c>
    </row>
    <row r="53" spans="5:7" x14ac:dyDescent="0.3">
      <c r="E53">
        <v>2500</v>
      </c>
      <c r="F53">
        <v>4689.4530999999997</v>
      </c>
      <c r="G53" t="str">
        <f t="shared" si="0"/>
        <v>SPLINE 2500,4689.4531</v>
      </c>
    </row>
    <row r="54" spans="5:7" x14ac:dyDescent="0.3">
      <c r="E54">
        <v>2550</v>
      </c>
      <c r="F54">
        <v>4673.4223000000002</v>
      </c>
      <c r="G54" t="str">
        <f t="shared" si="0"/>
        <v>SPLINE 2550,4673.4223</v>
      </c>
    </row>
    <row r="55" spans="5:7" x14ac:dyDescent="0.3">
      <c r="E55">
        <v>2600</v>
      </c>
      <c r="F55">
        <v>4656.9727000000003</v>
      </c>
      <c r="G55" t="str">
        <f t="shared" si="0"/>
        <v>SPLINE 2600,4656.9727</v>
      </c>
    </row>
    <row r="56" spans="5:7" x14ac:dyDescent="0.3">
      <c r="E56">
        <v>2650</v>
      </c>
      <c r="F56">
        <v>4640.1075000000001</v>
      </c>
      <c r="G56" t="str">
        <f t="shared" si="0"/>
        <v>SPLINE 2650,4640.1075</v>
      </c>
    </row>
    <row r="57" spans="5:7" x14ac:dyDescent="0.3">
      <c r="E57">
        <v>2700</v>
      </c>
      <c r="F57">
        <v>4622.8303999999998</v>
      </c>
      <c r="G57" t="str">
        <f t="shared" si="0"/>
        <v>SPLINE 2700,4622.8304</v>
      </c>
    </row>
    <row r="58" spans="5:7" x14ac:dyDescent="0.3">
      <c r="E58">
        <v>2750</v>
      </c>
      <c r="F58">
        <v>4605.1453000000001</v>
      </c>
      <c r="G58" t="str">
        <f t="shared" si="0"/>
        <v>SPLINE 2750,4605.1453</v>
      </c>
    </row>
    <row r="59" spans="5:7" x14ac:dyDescent="0.3">
      <c r="E59">
        <v>2800</v>
      </c>
      <c r="F59">
        <v>4587.0564999999997</v>
      </c>
      <c r="G59" t="str">
        <f t="shared" si="0"/>
        <v>SPLINE 2800,4587.0565</v>
      </c>
    </row>
    <row r="60" spans="5:7" x14ac:dyDescent="0.3">
      <c r="E60">
        <v>2850</v>
      </c>
      <c r="F60">
        <v>4568.5685000000003</v>
      </c>
      <c r="G60" t="str">
        <f t="shared" si="0"/>
        <v>SPLINE 2850,4568.5685</v>
      </c>
    </row>
    <row r="61" spans="5:7" x14ac:dyDescent="0.3">
      <c r="E61">
        <v>2900</v>
      </c>
      <c r="F61">
        <v>4549.6863000000003</v>
      </c>
      <c r="G61" t="str">
        <f t="shared" si="0"/>
        <v>SPLINE 2900,4549.6863</v>
      </c>
    </row>
    <row r="62" spans="5:7" x14ac:dyDescent="0.3">
      <c r="E62">
        <v>2950</v>
      </c>
      <c r="F62">
        <v>4530.415</v>
      </c>
      <c r="G62" t="str">
        <f t="shared" si="0"/>
        <v>SPLINE 2950,4530.415</v>
      </c>
    </row>
    <row r="63" spans="5:7" x14ac:dyDescent="0.3">
      <c r="E63">
        <v>3000</v>
      </c>
      <c r="F63">
        <v>4510.76</v>
      </c>
      <c r="G63" t="str">
        <f t="shared" si="0"/>
        <v>SPLINE 3000,4510.76</v>
      </c>
    </row>
    <row r="64" spans="5:7" x14ac:dyDescent="0.3">
      <c r="E64">
        <v>3050</v>
      </c>
      <c r="F64">
        <v>4490.7268999999997</v>
      </c>
      <c r="G64" t="str">
        <f t="shared" si="0"/>
        <v>SPLINE 3050,4490.7269</v>
      </c>
    </row>
    <row r="65" spans="5:7" x14ac:dyDescent="0.3">
      <c r="E65">
        <v>3100</v>
      </c>
      <c r="F65">
        <v>4470.3218999999999</v>
      </c>
      <c r="G65" t="str">
        <f t="shared" si="0"/>
        <v>SPLINE 3100,4470.3219</v>
      </c>
    </row>
    <row r="66" spans="5:7" x14ac:dyDescent="0.3">
      <c r="E66">
        <v>3150</v>
      </c>
      <c r="F66">
        <v>4449.5511999999999</v>
      </c>
      <c r="G66" t="str">
        <f t="shared" si="0"/>
        <v>SPLINE 3150,4449.5512</v>
      </c>
    </row>
    <row r="67" spans="5:7" x14ac:dyDescent="0.3">
      <c r="E67">
        <v>3200</v>
      </c>
      <c r="F67">
        <v>4428.4211999999998</v>
      </c>
      <c r="G67" t="str">
        <f t="shared" ref="G67:G130" si="1">CONCATENATE("SPLINE ",$E67,",",$F67)</f>
        <v>SPLINE 3200,4428.4212</v>
      </c>
    </row>
    <row r="68" spans="5:7" x14ac:dyDescent="0.3">
      <c r="E68">
        <v>3250</v>
      </c>
      <c r="F68">
        <v>4406.9386999999997</v>
      </c>
      <c r="G68" t="str">
        <f t="shared" si="1"/>
        <v>SPLINE 3250,4406.9387</v>
      </c>
    </row>
    <row r="69" spans="5:7" x14ac:dyDescent="0.3">
      <c r="E69">
        <v>3300</v>
      </c>
      <c r="F69">
        <v>4385.1107000000002</v>
      </c>
      <c r="G69" t="str">
        <f t="shared" si="1"/>
        <v>SPLINE 3300,4385.1107</v>
      </c>
    </row>
    <row r="70" spans="5:7" x14ac:dyDescent="0.3">
      <c r="E70">
        <v>3350</v>
      </c>
      <c r="F70">
        <v>4362.9444000000003</v>
      </c>
      <c r="G70" t="str">
        <f t="shared" si="1"/>
        <v>SPLINE 3350,4362.9444</v>
      </c>
    </row>
    <row r="71" spans="5:7" x14ac:dyDescent="0.3">
      <c r="E71">
        <v>3400</v>
      </c>
      <c r="F71">
        <v>4340.4474</v>
      </c>
      <c r="G71" t="str">
        <f t="shared" si="1"/>
        <v>SPLINE 3400,4340.4474</v>
      </c>
    </row>
    <row r="72" spans="5:7" x14ac:dyDescent="0.3">
      <c r="E72">
        <v>3450</v>
      </c>
      <c r="F72">
        <v>4317.6271999999999</v>
      </c>
      <c r="G72" t="str">
        <f t="shared" si="1"/>
        <v>SPLINE 3450,4317.6272</v>
      </c>
    </row>
    <row r="73" spans="5:7" x14ac:dyDescent="0.3">
      <c r="E73">
        <v>3500</v>
      </c>
      <c r="F73">
        <v>4294.4917999999998</v>
      </c>
      <c r="G73" t="str">
        <f t="shared" si="1"/>
        <v>SPLINE 3500,4294.4918</v>
      </c>
    </row>
    <row r="74" spans="5:7" x14ac:dyDescent="0.3">
      <c r="E74">
        <v>3550</v>
      </c>
      <c r="F74">
        <v>4271.0492999999997</v>
      </c>
      <c r="G74" t="str">
        <f t="shared" si="1"/>
        <v>SPLINE 3550,4271.0493</v>
      </c>
    </row>
    <row r="75" spans="5:7" x14ac:dyDescent="0.3">
      <c r="E75">
        <v>3600</v>
      </c>
      <c r="F75">
        <v>4247.308</v>
      </c>
      <c r="G75" t="str">
        <f t="shared" si="1"/>
        <v>SPLINE 3600,4247.308</v>
      </c>
    </row>
    <row r="76" spans="5:7" x14ac:dyDescent="0.3">
      <c r="E76">
        <v>3650</v>
      </c>
      <c r="F76">
        <v>4223.2764999999999</v>
      </c>
      <c r="G76" t="str">
        <f t="shared" si="1"/>
        <v>SPLINE 3650,4223.2765</v>
      </c>
    </row>
    <row r="77" spans="5:7" x14ac:dyDescent="0.3">
      <c r="E77">
        <v>3700</v>
      </c>
      <c r="F77">
        <v>4198.9633000000003</v>
      </c>
      <c r="G77" t="str">
        <f t="shared" si="1"/>
        <v>SPLINE 3700,4198.9633</v>
      </c>
    </row>
    <row r="78" spans="5:7" x14ac:dyDescent="0.3">
      <c r="E78">
        <v>3750</v>
      </c>
      <c r="F78">
        <v>4174.3774000000003</v>
      </c>
      <c r="G78" t="str">
        <f t="shared" si="1"/>
        <v>SPLINE 3750,4174.3774</v>
      </c>
    </row>
    <row r="79" spans="5:7" x14ac:dyDescent="0.3">
      <c r="E79">
        <v>3800</v>
      </c>
      <c r="F79">
        <v>4149.5277999999998</v>
      </c>
      <c r="G79" t="str">
        <f t="shared" si="1"/>
        <v>SPLINE 3800,4149.5278</v>
      </c>
    </row>
    <row r="80" spans="5:7" x14ac:dyDescent="0.3">
      <c r="E80">
        <v>3850</v>
      </c>
      <c r="F80">
        <v>4124.4238999999998</v>
      </c>
      <c r="G80" t="str">
        <f t="shared" si="1"/>
        <v>SPLINE 3850,4124.4239</v>
      </c>
    </row>
    <row r="81" spans="5:7" x14ac:dyDescent="0.3">
      <c r="E81">
        <v>3900</v>
      </c>
      <c r="F81">
        <v>4099.0748000000003</v>
      </c>
      <c r="G81" t="str">
        <f t="shared" si="1"/>
        <v>SPLINE 3900,4099.0748</v>
      </c>
    </row>
    <row r="82" spans="5:7" x14ac:dyDescent="0.3">
      <c r="E82">
        <v>3950</v>
      </c>
      <c r="F82">
        <v>4073.4902999999999</v>
      </c>
      <c r="G82" t="str">
        <f t="shared" si="1"/>
        <v>SPLINE 3950,4073.4903</v>
      </c>
    </row>
    <row r="83" spans="5:7" x14ac:dyDescent="0.3">
      <c r="E83">
        <v>4000</v>
      </c>
      <c r="F83">
        <v>4047.68</v>
      </c>
      <c r="G83" t="str">
        <f t="shared" si="1"/>
        <v>SPLINE 4000,4047.68</v>
      </c>
    </row>
    <row r="84" spans="5:7" x14ac:dyDescent="0.3">
      <c r="E84">
        <v>4050</v>
      </c>
      <c r="F84">
        <v>4021.6536000000001</v>
      </c>
      <c r="G84" t="str">
        <f t="shared" si="1"/>
        <v>SPLINE 4050,4021.6536</v>
      </c>
    </row>
    <row r="85" spans="5:7" x14ac:dyDescent="0.3">
      <c r="E85">
        <v>4100</v>
      </c>
      <c r="F85">
        <v>3995.4212000000002</v>
      </c>
      <c r="G85" t="str">
        <f t="shared" si="1"/>
        <v>SPLINE 4100,3995.4212</v>
      </c>
    </row>
    <row r="86" spans="5:7" x14ac:dyDescent="0.3">
      <c r="E86">
        <v>4150</v>
      </c>
      <c r="F86">
        <v>3968.9929000000002</v>
      </c>
      <c r="G86" t="str">
        <f t="shared" si="1"/>
        <v>SPLINE 4150,3968.9929</v>
      </c>
    </row>
    <row r="87" spans="5:7" x14ac:dyDescent="0.3">
      <c r="E87">
        <v>4200</v>
      </c>
      <c r="F87">
        <v>3942.3789000000002</v>
      </c>
      <c r="G87" t="str">
        <f t="shared" si="1"/>
        <v>SPLINE 4200,3942.3789</v>
      </c>
    </row>
    <row r="88" spans="5:7" x14ac:dyDescent="0.3">
      <c r="E88">
        <v>4250</v>
      </c>
      <c r="F88">
        <v>3915.5895</v>
      </c>
      <c r="G88" t="str">
        <f t="shared" si="1"/>
        <v>SPLINE 4250,3915.5895</v>
      </c>
    </row>
    <row r="89" spans="5:7" x14ac:dyDescent="0.3">
      <c r="E89">
        <v>4300</v>
      </c>
      <c r="F89">
        <v>3888.6352000000002</v>
      </c>
      <c r="G89" t="str">
        <f t="shared" si="1"/>
        <v>SPLINE 4300,3888.6352</v>
      </c>
    </row>
    <row r="90" spans="5:7" x14ac:dyDescent="0.3">
      <c r="E90">
        <v>4350</v>
      </c>
      <c r="F90">
        <v>3861.5264999999999</v>
      </c>
      <c r="G90" t="str">
        <f t="shared" si="1"/>
        <v>SPLINE 4350,3861.5265</v>
      </c>
    </row>
    <row r="91" spans="5:7" x14ac:dyDescent="0.3">
      <c r="E91">
        <v>4400</v>
      </c>
      <c r="F91">
        <v>3834.2739000000001</v>
      </c>
      <c r="G91" t="str">
        <f t="shared" si="1"/>
        <v>SPLINE 4400,3834.2739</v>
      </c>
    </row>
    <row r="92" spans="5:7" x14ac:dyDescent="0.3">
      <c r="E92">
        <v>4450</v>
      </c>
      <c r="F92">
        <v>3806.8883999999998</v>
      </c>
      <c r="G92" t="str">
        <f t="shared" si="1"/>
        <v>SPLINE 4450,3806.8884</v>
      </c>
    </row>
    <row r="93" spans="5:7" x14ac:dyDescent="0.3">
      <c r="E93">
        <v>4500</v>
      </c>
      <c r="F93">
        <v>3779.3806</v>
      </c>
      <c r="G93" t="str">
        <f t="shared" si="1"/>
        <v>SPLINE 4500,3779.3806</v>
      </c>
    </row>
    <row r="94" spans="5:7" x14ac:dyDescent="0.3">
      <c r="E94">
        <v>4550</v>
      </c>
      <c r="F94">
        <v>3751.7613999999999</v>
      </c>
      <c r="G94" t="str">
        <f t="shared" si="1"/>
        <v>SPLINE 4550,3751.7614</v>
      </c>
    </row>
    <row r="95" spans="5:7" x14ac:dyDescent="0.3">
      <c r="E95">
        <v>4600</v>
      </c>
      <c r="F95">
        <v>3724.0418</v>
      </c>
      <c r="G95" t="str">
        <f t="shared" si="1"/>
        <v>SPLINE 4600,3724.0418</v>
      </c>
    </row>
    <row r="96" spans="5:7" x14ac:dyDescent="0.3">
      <c r="E96">
        <v>4650</v>
      </c>
      <c r="F96">
        <v>3696.2328000000002</v>
      </c>
      <c r="G96" t="str">
        <f t="shared" si="1"/>
        <v>SPLINE 4650,3696.2328</v>
      </c>
    </row>
    <row r="97" spans="5:8" x14ac:dyDescent="0.3">
      <c r="E97">
        <v>4700</v>
      </c>
      <c r="F97">
        <v>3668.3454000000002</v>
      </c>
      <c r="G97" t="str">
        <f t="shared" si="1"/>
        <v>SPLINE 4700,3668.3454</v>
      </c>
    </row>
    <row r="98" spans="5:8" x14ac:dyDescent="0.3">
      <c r="E98">
        <v>4750</v>
      </c>
      <c r="F98">
        <v>3640.3908000000001</v>
      </c>
      <c r="G98" t="str">
        <f t="shared" si="1"/>
        <v>SPLINE 4750,3640.3908</v>
      </c>
    </row>
    <row r="99" spans="5:8" x14ac:dyDescent="0.3">
      <c r="E99">
        <v>4800</v>
      </c>
      <c r="F99">
        <v>3612.38</v>
      </c>
      <c r="G99" t="str">
        <f t="shared" si="1"/>
        <v>SPLINE 4800,3612.38</v>
      </c>
    </row>
    <row r="100" spans="5:8" x14ac:dyDescent="0.3">
      <c r="E100">
        <v>4850</v>
      </c>
      <c r="F100">
        <v>3584.3243000000002</v>
      </c>
      <c r="G100" t="str">
        <f t="shared" si="1"/>
        <v>SPLINE 4850,3584.3243</v>
      </c>
    </row>
    <row r="101" spans="5:8" x14ac:dyDescent="0.3">
      <c r="E101">
        <v>4900</v>
      </c>
      <c r="F101">
        <v>3556.2350000000001</v>
      </c>
      <c r="G101" t="str">
        <f t="shared" si="1"/>
        <v>SPLINE 4900,3556.235</v>
      </c>
    </row>
    <row r="102" spans="5:8" x14ac:dyDescent="0.3">
      <c r="E102">
        <v>4950</v>
      </c>
      <c r="F102">
        <v>3528.1230999999998</v>
      </c>
      <c r="G102" t="str">
        <f t="shared" si="1"/>
        <v>SPLINE 4950,3528.1231</v>
      </c>
      <c r="H102">
        <f>F102*2</f>
        <v>7056.2461999999996</v>
      </c>
    </row>
    <row r="103" spans="5:8" x14ac:dyDescent="0.3">
      <c r="E103">
        <v>5000</v>
      </c>
      <c r="F103">
        <v>3500</v>
      </c>
      <c r="G103" t="str">
        <f t="shared" si="1"/>
        <v>SPLINE 5000,3500</v>
      </c>
    </row>
    <row r="104" spans="5:8" x14ac:dyDescent="0.3">
      <c r="E104">
        <v>5050</v>
      </c>
      <c r="F104">
        <v>3471.8768</v>
      </c>
      <c r="G104" t="str">
        <f t="shared" si="1"/>
        <v>SPLINE 5050,3471.8768</v>
      </c>
    </row>
    <row r="105" spans="5:8" x14ac:dyDescent="0.3">
      <c r="E105">
        <v>5100</v>
      </c>
      <c r="F105">
        <v>3443.7649000000001</v>
      </c>
      <c r="G105" t="str">
        <f t="shared" si="1"/>
        <v>SPLINE 5100,3443.7649</v>
      </c>
    </row>
    <row r="106" spans="5:8" x14ac:dyDescent="0.3">
      <c r="E106">
        <v>5150</v>
      </c>
      <c r="F106">
        <v>3415.6756</v>
      </c>
      <c r="G106" t="str">
        <f t="shared" si="1"/>
        <v>SPLINE 5150,3415.6756</v>
      </c>
    </row>
    <row r="107" spans="5:8" x14ac:dyDescent="0.3">
      <c r="E107">
        <v>5200</v>
      </c>
      <c r="F107">
        <v>3387.6199000000001</v>
      </c>
      <c r="G107" t="str">
        <f t="shared" si="1"/>
        <v>SPLINE 5200,3387.6199</v>
      </c>
    </row>
    <row r="108" spans="5:8" x14ac:dyDescent="0.3">
      <c r="E108">
        <v>5250</v>
      </c>
      <c r="F108">
        <v>3359.6091000000001</v>
      </c>
      <c r="G108" t="str">
        <f t="shared" si="1"/>
        <v>SPLINE 5250,3359.6091</v>
      </c>
    </row>
    <row r="109" spans="5:8" x14ac:dyDescent="0.3">
      <c r="E109">
        <v>5300</v>
      </c>
      <c r="F109">
        <v>3331.6545000000001</v>
      </c>
      <c r="G109" t="str">
        <f t="shared" si="1"/>
        <v>SPLINE 5300,3331.6545</v>
      </c>
    </row>
    <row r="110" spans="5:8" x14ac:dyDescent="0.3">
      <c r="E110">
        <v>5350</v>
      </c>
      <c r="F110">
        <v>3303.7671</v>
      </c>
      <c r="G110" t="str">
        <f t="shared" si="1"/>
        <v>SPLINE 5350,3303.7671</v>
      </c>
    </row>
    <row r="111" spans="5:8" x14ac:dyDescent="0.3">
      <c r="E111">
        <v>5400</v>
      </c>
      <c r="F111">
        <v>3275.9580999999998</v>
      </c>
      <c r="G111" t="str">
        <f t="shared" si="1"/>
        <v>SPLINE 5400,3275.9581</v>
      </c>
    </row>
    <row r="112" spans="5:8" x14ac:dyDescent="0.3">
      <c r="E112">
        <v>5450</v>
      </c>
      <c r="F112">
        <v>3248.2384999999999</v>
      </c>
      <c r="G112" t="str">
        <f t="shared" si="1"/>
        <v>SPLINE 5450,3248.2385</v>
      </c>
    </row>
    <row r="113" spans="5:7" x14ac:dyDescent="0.3">
      <c r="E113">
        <v>5500</v>
      </c>
      <c r="F113">
        <v>3220.6192999999998</v>
      </c>
      <c r="G113" t="str">
        <f t="shared" si="1"/>
        <v>SPLINE 5500,3220.6193</v>
      </c>
    </row>
    <row r="114" spans="5:7" x14ac:dyDescent="0.3">
      <c r="E114">
        <v>5550</v>
      </c>
      <c r="F114">
        <v>3193.1115</v>
      </c>
      <c r="G114" t="str">
        <f t="shared" si="1"/>
        <v>SPLINE 5550,3193.1115</v>
      </c>
    </row>
    <row r="115" spans="5:7" x14ac:dyDescent="0.3">
      <c r="E115">
        <v>5600</v>
      </c>
      <c r="F115">
        <v>3165.7260000000001</v>
      </c>
      <c r="G115" t="str">
        <f t="shared" si="1"/>
        <v>SPLINE 5600,3165.726</v>
      </c>
    </row>
    <row r="116" spans="5:7" x14ac:dyDescent="0.3">
      <c r="E116">
        <v>5650</v>
      </c>
      <c r="F116">
        <v>3138.4733999999999</v>
      </c>
      <c r="G116" t="str">
        <f t="shared" si="1"/>
        <v>SPLINE 5650,3138.4734</v>
      </c>
    </row>
    <row r="117" spans="5:7" x14ac:dyDescent="0.3">
      <c r="E117">
        <v>5700</v>
      </c>
      <c r="F117">
        <v>3111.3647000000001</v>
      </c>
      <c r="G117" t="str">
        <f t="shared" si="1"/>
        <v>SPLINE 5700,3111.3647</v>
      </c>
    </row>
    <row r="118" spans="5:7" x14ac:dyDescent="0.3">
      <c r="E118">
        <v>5750</v>
      </c>
      <c r="F118">
        <v>3084.4104000000002</v>
      </c>
      <c r="G118" t="str">
        <f t="shared" si="1"/>
        <v>SPLINE 5750,3084.4104</v>
      </c>
    </row>
    <row r="119" spans="5:7" x14ac:dyDescent="0.3">
      <c r="E119">
        <v>5800</v>
      </c>
      <c r="F119">
        <v>3057.6210000000001</v>
      </c>
      <c r="G119" t="str">
        <f t="shared" si="1"/>
        <v>SPLINE 5800,3057.621</v>
      </c>
    </row>
    <row r="120" spans="5:7" x14ac:dyDescent="0.3">
      <c r="E120">
        <v>5850</v>
      </c>
      <c r="F120">
        <v>3031.0070000000001</v>
      </c>
      <c r="G120" t="str">
        <f t="shared" si="1"/>
        <v>SPLINE 5850,3031.007</v>
      </c>
    </row>
    <row r="121" spans="5:7" x14ac:dyDescent="0.3">
      <c r="E121">
        <v>5900</v>
      </c>
      <c r="F121">
        <v>3004.5787</v>
      </c>
      <c r="G121" t="str">
        <f t="shared" si="1"/>
        <v>SPLINE 5900,3004.5787</v>
      </c>
    </row>
    <row r="122" spans="5:7" x14ac:dyDescent="0.3">
      <c r="E122">
        <v>5950</v>
      </c>
      <c r="F122">
        <v>2978.3463000000002</v>
      </c>
      <c r="G122" t="str">
        <f t="shared" si="1"/>
        <v>SPLINE 5950,2978.3463</v>
      </c>
    </row>
    <row r="123" spans="5:7" x14ac:dyDescent="0.3">
      <c r="E123">
        <v>6000</v>
      </c>
      <c r="F123">
        <v>2952.32</v>
      </c>
      <c r="G123" t="str">
        <f t="shared" si="1"/>
        <v>SPLINE 6000,2952.32</v>
      </c>
    </row>
    <row r="124" spans="5:7" x14ac:dyDescent="0.3">
      <c r="E124">
        <v>6050</v>
      </c>
      <c r="F124">
        <v>2926.5095999999999</v>
      </c>
      <c r="G124" t="str">
        <f t="shared" si="1"/>
        <v>SPLINE 6050,2926.5096</v>
      </c>
    </row>
    <row r="125" spans="5:7" x14ac:dyDescent="0.3">
      <c r="E125">
        <v>6100</v>
      </c>
      <c r="F125">
        <v>2900.9250999999999</v>
      </c>
      <c r="G125" t="str">
        <f t="shared" si="1"/>
        <v>SPLINE 6100,2900.9251</v>
      </c>
    </row>
    <row r="126" spans="5:7" x14ac:dyDescent="0.3">
      <c r="E126">
        <v>6150</v>
      </c>
      <c r="F126">
        <v>2875.576</v>
      </c>
      <c r="G126" t="str">
        <f t="shared" si="1"/>
        <v>SPLINE 6150,2875.576</v>
      </c>
    </row>
    <row r="127" spans="5:7" x14ac:dyDescent="0.3">
      <c r="E127">
        <v>6200</v>
      </c>
      <c r="F127">
        <v>2850.4721</v>
      </c>
      <c r="G127" t="str">
        <f t="shared" si="1"/>
        <v>SPLINE 6200,2850.4721</v>
      </c>
    </row>
    <row r="128" spans="5:7" x14ac:dyDescent="0.3">
      <c r="E128">
        <v>6250</v>
      </c>
      <c r="F128">
        <v>2825.6224999999999</v>
      </c>
      <c r="G128" t="str">
        <f t="shared" si="1"/>
        <v>SPLINE 6250,2825.6225</v>
      </c>
    </row>
    <row r="129" spans="5:7" x14ac:dyDescent="0.3">
      <c r="E129">
        <v>6300</v>
      </c>
      <c r="F129">
        <v>2801.0365999999999</v>
      </c>
      <c r="G129" t="str">
        <f t="shared" si="1"/>
        <v>SPLINE 6300,2801.0366</v>
      </c>
    </row>
    <row r="130" spans="5:7" x14ac:dyDescent="0.3">
      <c r="E130">
        <v>6350</v>
      </c>
      <c r="F130">
        <v>2776.7233999999999</v>
      </c>
      <c r="G130" t="str">
        <f t="shared" si="1"/>
        <v>SPLINE 6350,2776.7234</v>
      </c>
    </row>
    <row r="131" spans="5:7" x14ac:dyDescent="0.3">
      <c r="E131">
        <v>6400</v>
      </c>
      <c r="F131">
        <v>2752.6918999999998</v>
      </c>
      <c r="G131" t="str">
        <f t="shared" ref="G131:G194" si="2">CONCATENATE("SPLINE ",$E131,",",$F131)</f>
        <v>SPLINE 6400,2752.6919</v>
      </c>
    </row>
    <row r="132" spans="5:7" x14ac:dyDescent="0.3">
      <c r="E132">
        <v>6450</v>
      </c>
      <c r="F132">
        <v>2728.9506000000001</v>
      </c>
      <c r="G132" t="str">
        <f t="shared" si="2"/>
        <v>SPLINE 6450,2728.9506</v>
      </c>
    </row>
    <row r="133" spans="5:7" x14ac:dyDescent="0.3">
      <c r="E133">
        <v>6500</v>
      </c>
      <c r="F133">
        <v>2705.5081</v>
      </c>
      <c r="G133" t="str">
        <f t="shared" si="2"/>
        <v>SPLINE 6500,2705.5081</v>
      </c>
    </row>
    <row r="134" spans="5:7" x14ac:dyDescent="0.3">
      <c r="E134">
        <v>6550</v>
      </c>
      <c r="F134">
        <v>2682.3726999999999</v>
      </c>
      <c r="G134" t="str">
        <f t="shared" si="2"/>
        <v>SPLINE 6550,2682.3727</v>
      </c>
    </row>
    <row r="135" spans="5:7" x14ac:dyDescent="0.3">
      <c r="E135">
        <v>6600</v>
      </c>
      <c r="F135">
        <v>2659.5524999999998</v>
      </c>
      <c r="G135" t="str">
        <f t="shared" si="2"/>
        <v>SPLINE 6600,2659.5525</v>
      </c>
    </row>
    <row r="136" spans="5:7" x14ac:dyDescent="0.3">
      <c r="E136">
        <v>6650</v>
      </c>
      <c r="F136">
        <v>2637.0554999999999</v>
      </c>
      <c r="G136" t="str">
        <f t="shared" si="2"/>
        <v>SPLINE 6650,2637.0555</v>
      </c>
    </row>
    <row r="137" spans="5:7" x14ac:dyDescent="0.3">
      <c r="E137">
        <v>6700</v>
      </c>
      <c r="F137">
        <v>2614.8892000000001</v>
      </c>
      <c r="G137" t="str">
        <f t="shared" si="2"/>
        <v>SPLINE 6700,2614.8892</v>
      </c>
    </row>
    <row r="138" spans="5:7" x14ac:dyDescent="0.3">
      <c r="E138">
        <v>6750</v>
      </c>
      <c r="F138">
        <v>2593.0612000000001</v>
      </c>
      <c r="G138" t="str">
        <f t="shared" si="2"/>
        <v>SPLINE 6750,2593.0612</v>
      </c>
    </row>
    <row r="139" spans="5:7" x14ac:dyDescent="0.3">
      <c r="E139">
        <v>6800</v>
      </c>
      <c r="F139">
        <v>2571.5787</v>
      </c>
      <c r="G139" t="str">
        <f t="shared" si="2"/>
        <v>SPLINE 6800,2571.5787</v>
      </c>
    </row>
    <row r="140" spans="5:7" x14ac:dyDescent="0.3">
      <c r="E140">
        <v>6850</v>
      </c>
      <c r="F140">
        <v>2550.4486999999999</v>
      </c>
      <c r="G140" t="str">
        <f t="shared" si="2"/>
        <v>SPLINE 6850,2550.4487</v>
      </c>
    </row>
    <row r="141" spans="5:7" x14ac:dyDescent="0.3">
      <c r="E141">
        <v>6900</v>
      </c>
      <c r="F141">
        <v>2529.6779999999999</v>
      </c>
      <c r="G141" t="str">
        <f t="shared" si="2"/>
        <v>SPLINE 6900,2529.678</v>
      </c>
    </row>
    <row r="142" spans="5:7" x14ac:dyDescent="0.3">
      <c r="E142">
        <v>6950</v>
      </c>
      <c r="F142">
        <v>2509.2730000000001</v>
      </c>
      <c r="G142" t="str">
        <f t="shared" si="2"/>
        <v>SPLINE 6950,2509.273</v>
      </c>
    </row>
    <row r="143" spans="5:7" x14ac:dyDescent="0.3">
      <c r="E143">
        <v>7000</v>
      </c>
      <c r="F143">
        <v>2489.2399999999998</v>
      </c>
      <c r="G143" t="str">
        <f t="shared" si="2"/>
        <v>SPLINE 7000,2489.24</v>
      </c>
    </row>
    <row r="144" spans="5:7" x14ac:dyDescent="0.3">
      <c r="E144">
        <v>7050</v>
      </c>
      <c r="F144">
        <v>2469.5848999999998</v>
      </c>
      <c r="G144" t="str">
        <f t="shared" si="2"/>
        <v>SPLINE 7050,2469.5849</v>
      </c>
    </row>
    <row r="145" spans="5:7" x14ac:dyDescent="0.3">
      <c r="E145">
        <v>7100</v>
      </c>
      <c r="F145">
        <v>2450.3136</v>
      </c>
      <c r="G145" t="str">
        <f t="shared" si="2"/>
        <v>SPLINE 7100,2450.3136</v>
      </c>
    </row>
    <row r="146" spans="5:7" x14ac:dyDescent="0.3">
      <c r="E146">
        <v>7150</v>
      </c>
      <c r="F146">
        <v>2431.4313999999999</v>
      </c>
      <c r="G146" t="str">
        <f t="shared" si="2"/>
        <v>SPLINE 7150,2431.4314</v>
      </c>
    </row>
    <row r="147" spans="5:7" x14ac:dyDescent="0.3">
      <c r="E147">
        <v>7200</v>
      </c>
      <c r="F147">
        <v>2412.9434000000001</v>
      </c>
      <c r="G147" t="str">
        <f t="shared" si="2"/>
        <v>SPLINE 7200,2412.9434</v>
      </c>
    </row>
    <row r="148" spans="5:7" x14ac:dyDescent="0.3">
      <c r="E148">
        <v>7250</v>
      </c>
      <c r="F148">
        <v>2394.8546000000001</v>
      </c>
      <c r="G148" t="str">
        <f t="shared" si="2"/>
        <v>SPLINE 7250,2394.8546</v>
      </c>
    </row>
    <row r="149" spans="5:7" x14ac:dyDescent="0.3">
      <c r="E149">
        <v>7300</v>
      </c>
      <c r="F149">
        <v>2377.1695</v>
      </c>
      <c r="G149" t="str">
        <f t="shared" si="2"/>
        <v>SPLINE 7300,2377.1695</v>
      </c>
    </row>
    <row r="150" spans="5:7" x14ac:dyDescent="0.3">
      <c r="E150">
        <v>7350</v>
      </c>
      <c r="F150">
        <v>2359.8924000000002</v>
      </c>
      <c r="G150" t="str">
        <f t="shared" si="2"/>
        <v>SPLINE 7350,2359.8924</v>
      </c>
    </row>
    <row r="151" spans="5:7" x14ac:dyDescent="0.3">
      <c r="E151">
        <v>7400</v>
      </c>
      <c r="F151">
        <v>2343.0272</v>
      </c>
      <c r="G151" t="str">
        <f t="shared" si="2"/>
        <v>SPLINE 7400,2343.0272</v>
      </c>
    </row>
    <row r="152" spans="5:7" x14ac:dyDescent="0.3">
      <c r="E152">
        <v>7450</v>
      </c>
      <c r="F152">
        <v>2326.5776000000001</v>
      </c>
      <c r="G152" t="str">
        <f t="shared" si="2"/>
        <v>SPLINE 7450,2326.5776</v>
      </c>
    </row>
    <row r="153" spans="5:7" x14ac:dyDescent="0.3">
      <c r="E153">
        <v>7500</v>
      </c>
      <c r="F153">
        <v>2310.5468000000001</v>
      </c>
      <c r="G153" t="str">
        <f t="shared" si="2"/>
        <v>SPLINE 7500,2310.5468</v>
      </c>
    </row>
    <row r="154" spans="5:7" x14ac:dyDescent="0.3">
      <c r="E154">
        <v>7550</v>
      </c>
      <c r="F154">
        <v>2294.9378999999999</v>
      </c>
      <c r="G154" t="str">
        <f t="shared" si="2"/>
        <v>SPLINE 7550,2294.9379</v>
      </c>
    </row>
    <row r="155" spans="5:7" x14ac:dyDescent="0.3">
      <c r="E155">
        <v>7600</v>
      </c>
      <c r="F155">
        <v>2279.7534999999998</v>
      </c>
      <c r="G155" t="str">
        <f t="shared" si="2"/>
        <v>SPLINE 7600,2279.7535</v>
      </c>
    </row>
    <row r="156" spans="5:7" x14ac:dyDescent="0.3">
      <c r="E156">
        <v>7650</v>
      </c>
      <c r="F156">
        <v>2264.9958000000001</v>
      </c>
      <c r="G156" t="str">
        <f t="shared" si="2"/>
        <v>SPLINE 7650,2264.9958</v>
      </c>
    </row>
    <row r="157" spans="5:7" x14ac:dyDescent="0.3">
      <c r="E157">
        <v>7700</v>
      </c>
      <c r="F157">
        <v>2250.6669000000002</v>
      </c>
      <c r="G157" t="str">
        <f t="shared" si="2"/>
        <v>SPLINE 7700,2250.6669</v>
      </c>
    </row>
    <row r="158" spans="5:7" x14ac:dyDescent="0.3">
      <c r="E158">
        <v>7750</v>
      </c>
      <c r="F158">
        <v>2236.7683000000002</v>
      </c>
      <c r="G158" t="str">
        <f t="shared" si="2"/>
        <v>SPLINE 7750,2236.7683</v>
      </c>
    </row>
    <row r="159" spans="5:7" x14ac:dyDescent="0.3">
      <c r="E159">
        <v>7800</v>
      </c>
      <c r="F159">
        <v>2223.3013000000001</v>
      </c>
      <c r="G159" t="str">
        <f t="shared" si="2"/>
        <v>SPLINE 7800,2223.3013</v>
      </c>
    </row>
    <row r="160" spans="5:7" x14ac:dyDescent="0.3">
      <c r="E160">
        <v>7850</v>
      </c>
      <c r="F160">
        <v>2210.2665999999999</v>
      </c>
      <c r="G160" t="str">
        <f t="shared" si="2"/>
        <v>SPLINE 7850,2210.2666</v>
      </c>
    </row>
    <row r="161" spans="5:7" x14ac:dyDescent="0.3">
      <c r="E161">
        <v>7900</v>
      </c>
      <c r="F161">
        <v>2197.6649000000002</v>
      </c>
      <c r="G161" t="str">
        <f t="shared" si="2"/>
        <v>SPLINE 7900,2197.6649</v>
      </c>
    </row>
    <row r="162" spans="5:7" x14ac:dyDescent="0.3">
      <c r="E162">
        <v>7950</v>
      </c>
      <c r="F162">
        <v>2185.4960999999998</v>
      </c>
      <c r="G162" t="str">
        <f t="shared" si="2"/>
        <v>SPLINE 7950,2185.4961</v>
      </c>
    </row>
    <row r="163" spans="5:7" x14ac:dyDescent="0.3">
      <c r="E163">
        <v>8000</v>
      </c>
      <c r="F163">
        <v>2173.7600000000002</v>
      </c>
      <c r="G163" t="str">
        <f t="shared" si="2"/>
        <v>SPLINE 8000,2173.76</v>
      </c>
    </row>
    <row r="164" spans="5:7" x14ac:dyDescent="0.3">
      <c r="E164">
        <v>8050</v>
      </c>
      <c r="F164">
        <v>2162.4558000000002</v>
      </c>
      <c r="G164" t="str">
        <f t="shared" si="2"/>
        <v>SPLINE 8050,2162.4558</v>
      </c>
    </row>
    <row r="165" spans="5:7" x14ac:dyDescent="0.3">
      <c r="E165">
        <v>8100</v>
      </c>
      <c r="F165">
        <v>2151.5825</v>
      </c>
      <c r="G165" t="str">
        <f t="shared" si="2"/>
        <v>SPLINE 8100,2151.5825</v>
      </c>
    </row>
    <row r="166" spans="5:7" x14ac:dyDescent="0.3">
      <c r="E166">
        <v>8150</v>
      </c>
      <c r="F166">
        <v>2141.1385</v>
      </c>
      <c r="G166" t="str">
        <f t="shared" si="2"/>
        <v>SPLINE 8150,2141.1385</v>
      </c>
    </row>
    <row r="167" spans="5:7" x14ac:dyDescent="0.3">
      <c r="E167">
        <v>8200</v>
      </c>
      <c r="F167">
        <v>2131.1219999999998</v>
      </c>
      <c r="G167" t="str">
        <f t="shared" si="2"/>
        <v>SPLINE 8200,2131.122</v>
      </c>
    </row>
    <row r="168" spans="5:7" x14ac:dyDescent="0.3">
      <c r="E168">
        <v>8250</v>
      </c>
      <c r="F168">
        <v>2121.5304999999998</v>
      </c>
      <c r="G168" t="str">
        <f t="shared" si="2"/>
        <v>SPLINE 8250,2121.5305</v>
      </c>
    </row>
    <row r="169" spans="5:7" x14ac:dyDescent="0.3">
      <c r="E169">
        <v>8300</v>
      </c>
      <c r="F169">
        <v>2112.3611999999998</v>
      </c>
      <c r="G169" t="str">
        <f t="shared" si="2"/>
        <v>SPLINE 8300,2112.3612</v>
      </c>
    </row>
    <row r="170" spans="5:7" x14ac:dyDescent="0.3">
      <c r="E170">
        <v>8350</v>
      </c>
      <c r="F170">
        <v>2103.6109999999999</v>
      </c>
      <c r="G170" t="str">
        <f t="shared" si="2"/>
        <v>SPLINE 8350,2103.611</v>
      </c>
    </row>
    <row r="171" spans="5:7" x14ac:dyDescent="0.3">
      <c r="E171">
        <v>8400</v>
      </c>
      <c r="F171">
        <v>2095.2761999999998</v>
      </c>
      <c r="G171" t="str">
        <f t="shared" si="2"/>
        <v>SPLINE 8400,2095.2762</v>
      </c>
    </row>
    <row r="172" spans="5:7" x14ac:dyDescent="0.3">
      <c r="E172">
        <v>8450</v>
      </c>
      <c r="F172">
        <v>2087.3526000000002</v>
      </c>
      <c r="G172" t="str">
        <f t="shared" si="2"/>
        <v>SPLINE 8450,2087.3526</v>
      </c>
    </row>
    <row r="173" spans="5:7" x14ac:dyDescent="0.3">
      <c r="E173">
        <v>8500</v>
      </c>
      <c r="F173">
        <v>2079.8355999999999</v>
      </c>
      <c r="G173" t="str">
        <f t="shared" si="2"/>
        <v>SPLINE 8500,2079.8356</v>
      </c>
    </row>
    <row r="174" spans="5:7" x14ac:dyDescent="0.3">
      <c r="E174">
        <v>8550</v>
      </c>
      <c r="F174">
        <v>2072.7202000000002</v>
      </c>
      <c r="G174" t="str">
        <f t="shared" si="2"/>
        <v>SPLINE 8550,2072.7202</v>
      </c>
    </row>
    <row r="175" spans="5:7" x14ac:dyDescent="0.3">
      <c r="E175">
        <v>8600</v>
      </c>
      <c r="F175">
        <v>2066.0007999999998</v>
      </c>
      <c r="G175" t="str">
        <f t="shared" si="2"/>
        <v>SPLINE 8600,2066.0008</v>
      </c>
    </row>
    <row r="176" spans="5:7" x14ac:dyDescent="0.3">
      <c r="E176">
        <v>8650</v>
      </c>
      <c r="F176">
        <v>2059.6714999999999</v>
      </c>
      <c r="G176" t="str">
        <f t="shared" si="2"/>
        <v>SPLINE 8650,2059.6715</v>
      </c>
    </row>
    <row r="177" spans="5:7" x14ac:dyDescent="0.3">
      <c r="E177">
        <v>8700</v>
      </c>
      <c r="F177">
        <v>2053.7258000000002</v>
      </c>
      <c r="G177" t="str">
        <f t="shared" si="2"/>
        <v>SPLINE 8700,2053.7258</v>
      </c>
    </row>
    <row r="178" spans="5:7" x14ac:dyDescent="0.3">
      <c r="E178">
        <v>8750</v>
      </c>
      <c r="F178">
        <v>2048.1567</v>
      </c>
      <c r="G178" t="str">
        <f t="shared" si="2"/>
        <v>SPLINE 8750,2048.1567</v>
      </c>
    </row>
    <row r="179" spans="5:7" x14ac:dyDescent="0.3">
      <c r="E179">
        <v>8800</v>
      </c>
      <c r="F179">
        <v>2042.9566</v>
      </c>
      <c r="G179" t="str">
        <f t="shared" si="2"/>
        <v>SPLINE 8800,2042.9566</v>
      </c>
    </row>
    <row r="180" spans="5:7" x14ac:dyDescent="0.3">
      <c r="E180">
        <v>8850</v>
      </c>
      <c r="F180">
        <v>2038.1177</v>
      </c>
      <c r="G180" t="str">
        <f t="shared" si="2"/>
        <v>SPLINE 8850,2038.1177</v>
      </c>
    </row>
    <row r="181" spans="5:7" x14ac:dyDescent="0.3">
      <c r="E181">
        <v>8900</v>
      </c>
      <c r="F181">
        <v>2033.6314</v>
      </c>
      <c r="G181" t="str">
        <f t="shared" si="2"/>
        <v>SPLINE 8900,2033.6314</v>
      </c>
    </row>
    <row r="182" spans="5:7" x14ac:dyDescent="0.3">
      <c r="E182">
        <v>8950</v>
      </c>
      <c r="F182">
        <v>2029.4887000000001</v>
      </c>
      <c r="G182" t="str">
        <f t="shared" si="2"/>
        <v>SPLINE 8950,2029.4887</v>
      </c>
    </row>
    <row r="183" spans="5:7" x14ac:dyDescent="0.3">
      <c r="E183">
        <v>9000</v>
      </c>
      <c r="F183">
        <v>2025.68</v>
      </c>
      <c r="G183" t="str">
        <f t="shared" si="2"/>
        <v>SPLINE 9000,2025.68</v>
      </c>
    </row>
    <row r="184" spans="5:7" x14ac:dyDescent="0.3">
      <c r="E184">
        <v>9050</v>
      </c>
      <c r="F184">
        <v>2022.1952000000001</v>
      </c>
      <c r="G184" t="str">
        <f t="shared" si="2"/>
        <v>SPLINE 9050,2022.1952</v>
      </c>
    </row>
    <row r="185" spans="5:7" x14ac:dyDescent="0.3">
      <c r="E185">
        <v>9100</v>
      </c>
      <c r="F185">
        <v>2019.0237999999999</v>
      </c>
      <c r="G185" t="str">
        <f t="shared" si="2"/>
        <v>SPLINE 9100,2019.0238</v>
      </c>
    </row>
    <row r="186" spans="5:7" x14ac:dyDescent="0.3">
      <c r="E186">
        <v>9150</v>
      </c>
      <c r="F186">
        <v>2016.1545000000001</v>
      </c>
      <c r="G186" t="str">
        <f t="shared" si="2"/>
        <v>SPLINE 9150,2016.1545</v>
      </c>
    </row>
    <row r="187" spans="5:7" x14ac:dyDescent="0.3">
      <c r="E187">
        <v>9200</v>
      </c>
      <c r="F187">
        <v>2013.5757000000001</v>
      </c>
      <c r="G187" t="str">
        <f t="shared" si="2"/>
        <v>SPLINE 9200,2013.5757</v>
      </c>
    </row>
    <row r="188" spans="5:7" x14ac:dyDescent="0.3">
      <c r="E188">
        <v>9250</v>
      </c>
      <c r="F188">
        <v>2011.2751000000001</v>
      </c>
      <c r="G188" t="str">
        <f t="shared" si="2"/>
        <v>SPLINE 9250,2011.2751</v>
      </c>
    </row>
    <row r="189" spans="5:7" x14ac:dyDescent="0.3">
      <c r="E189">
        <v>9300</v>
      </c>
      <c r="F189">
        <v>2009.2398000000001</v>
      </c>
      <c r="G189" t="str">
        <f t="shared" si="2"/>
        <v>SPLINE 9300,2009.2398</v>
      </c>
    </row>
    <row r="190" spans="5:7" x14ac:dyDescent="0.3">
      <c r="E190">
        <v>9350</v>
      </c>
      <c r="F190">
        <v>2007.4563000000001</v>
      </c>
      <c r="G190" t="str">
        <f t="shared" si="2"/>
        <v>SPLINE 9350,2007.4563</v>
      </c>
    </row>
    <row r="191" spans="5:7" x14ac:dyDescent="0.3">
      <c r="E191">
        <v>9400</v>
      </c>
      <c r="F191">
        <v>2005.9106999999999</v>
      </c>
      <c r="G191" t="str">
        <f t="shared" si="2"/>
        <v>SPLINE 9400,2005.9107</v>
      </c>
    </row>
    <row r="192" spans="5:7" x14ac:dyDescent="0.3">
      <c r="E192">
        <v>9450</v>
      </c>
      <c r="F192">
        <v>2004.5885000000001</v>
      </c>
      <c r="G192" t="str">
        <f t="shared" si="2"/>
        <v>SPLINE 9450,2004.5885</v>
      </c>
    </row>
    <row r="193" spans="5:7" x14ac:dyDescent="0.3">
      <c r="E193">
        <v>9500</v>
      </c>
      <c r="F193">
        <v>2003.4743000000001</v>
      </c>
      <c r="G193" t="str">
        <f t="shared" si="2"/>
        <v>SPLINE 9500,2003.4743</v>
      </c>
    </row>
    <row r="194" spans="5:7" x14ac:dyDescent="0.3">
      <c r="E194">
        <v>9550</v>
      </c>
      <c r="F194">
        <v>2002.5525</v>
      </c>
      <c r="G194" t="str">
        <f t="shared" si="2"/>
        <v>SPLINE 9550,2002.5525</v>
      </c>
    </row>
    <row r="195" spans="5:7" x14ac:dyDescent="0.3">
      <c r="E195">
        <v>9600</v>
      </c>
      <c r="F195">
        <v>2001.8065999999999</v>
      </c>
      <c r="G195" t="str">
        <f t="shared" ref="G195:G203" si="3">CONCATENATE("SPLINE ",$E195,",",$F195)</f>
        <v>SPLINE 9600,2001.8066</v>
      </c>
    </row>
    <row r="196" spans="5:7" x14ac:dyDescent="0.3">
      <c r="E196">
        <v>9650</v>
      </c>
      <c r="F196">
        <v>2001.2195999999999</v>
      </c>
      <c r="G196" t="str">
        <f t="shared" si="3"/>
        <v>SPLINE 9650,2001.2196</v>
      </c>
    </row>
    <row r="197" spans="5:7" x14ac:dyDescent="0.3">
      <c r="E197">
        <v>9700</v>
      </c>
      <c r="F197">
        <v>2000.7738999999999</v>
      </c>
      <c r="G197" t="str">
        <f t="shared" si="3"/>
        <v>SPLINE 9700,2000.7739</v>
      </c>
    </row>
    <row r="198" spans="5:7" x14ac:dyDescent="0.3">
      <c r="E198">
        <v>9750</v>
      </c>
      <c r="F198">
        <v>2000.4512999999999</v>
      </c>
      <c r="G198" t="str">
        <f t="shared" si="3"/>
        <v>SPLINE 9750,2000.4513</v>
      </c>
    </row>
    <row r="199" spans="5:7" x14ac:dyDescent="0.3">
      <c r="E199">
        <v>9800</v>
      </c>
      <c r="F199">
        <v>2000.2328</v>
      </c>
      <c r="G199" t="str">
        <f t="shared" si="3"/>
        <v>SPLINE 9800,2000.2328</v>
      </c>
    </row>
    <row r="200" spans="5:7" x14ac:dyDescent="0.3">
      <c r="E200">
        <v>9850</v>
      </c>
      <c r="F200">
        <v>2000.0989</v>
      </c>
      <c r="G200" t="str">
        <f t="shared" si="3"/>
        <v>SPLINE 9850,2000.0989</v>
      </c>
    </row>
    <row r="201" spans="5:7" x14ac:dyDescent="0.3">
      <c r="E201">
        <v>9900</v>
      </c>
      <c r="F201">
        <v>2000.0295000000001</v>
      </c>
      <c r="G201" t="str">
        <f t="shared" si="3"/>
        <v>SPLINE 9900,2000.0295</v>
      </c>
    </row>
    <row r="202" spans="5:7" x14ac:dyDescent="0.3">
      <c r="E202">
        <v>9950</v>
      </c>
      <c r="F202">
        <v>2000.0037</v>
      </c>
      <c r="G202" t="str">
        <f t="shared" si="3"/>
        <v>SPLINE 9950,2000.0037</v>
      </c>
    </row>
    <row r="203" spans="5:7" x14ac:dyDescent="0.3">
      <c r="E203">
        <v>10000</v>
      </c>
      <c r="F203">
        <v>2000</v>
      </c>
      <c r="G203" t="str">
        <f t="shared" si="3"/>
        <v>SPLINE 10000,2000</v>
      </c>
    </row>
  </sheetData>
  <phoneticPr fontId="3" type="noConversion"/>
  <pageMargins left="0.7" right="0.7" top="0.75" bottom="0.75" header="0.3" footer="0.3"/>
  <pageSetup paperSize="9" scale="9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D7DA3-7935-49AA-BBF7-BC2FCDA05A5C}">
  <sheetPr codeName="Sheet6"/>
  <dimension ref="A1:O203"/>
  <sheetViews>
    <sheetView zoomScaleNormal="100" workbookViewId="0">
      <selection activeCell="B4" sqref="B4"/>
    </sheetView>
  </sheetViews>
  <sheetFormatPr defaultColWidth="0" defaultRowHeight="16.5" zeroHeight="1" x14ac:dyDescent="0.3"/>
  <cols>
    <col min="1" max="6" width="9" customWidth="1"/>
    <col min="7" max="7" width="27.5" bestFit="1" customWidth="1"/>
    <col min="8" max="14" width="9" hidden="1" customWidth="1"/>
    <col min="15" max="15" width="9" style="6" hidden="1" customWidth="1"/>
    <col min="16" max="16384" width="9" hidden="1"/>
  </cols>
  <sheetData>
    <row r="1" spans="1:15" x14ac:dyDescent="0.3">
      <c r="A1" s="5" t="s">
        <v>37</v>
      </c>
      <c r="O1" s="6" t="s">
        <v>9</v>
      </c>
    </row>
    <row r="2" spans="1:15" x14ac:dyDescent="0.3">
      <c r="A2" t="s">
        <v>3</v>
      </c>
      <c r="B2" t="s">
        <v>0</v>
      </c>
      <c r="C2" t="s">
        <v>1</v>
      </c>
      <c r="D2" t="s">
        <v>2</v>
      </c>
      <c r="E2" t="s">
        <v>45</v>
      </c>
      <c r="F2" t="s">
        <v>41</v>
      </c>
      <c r="O2" s="6" t="s">
        <v>8</v>
      </c>
    </row>
    <row r="3" spans="1:15" x14ac:dyDescent="0.3">
      <c r="A3">
        <f>-C16</f>
        <v>0</v>
      </c>
      <c r="B3">
        <v>3000</v>
      </c>
      <c r="C3">
        <v>1000</v>
      </c>
      <c r="D3">
        <v>6000</v>
      </c>
      <c r="E3">
        <v>0</v>
      </c>
      <c r="F3">
        <v>3000</v>
      </c>
      <c r="G3" t="s">
        <v>46</v>
      </c>
      <c r="O3" s="6" t="s">
        <v>6</v>
      </c>
    </row>
    <row r="4" spans="1:15" x14ac:dyDescent="0.3">
      <c r="E4">
        <v>30</v>
      </c>
      <c r="F4">
        <v>2999.9975187125001</v>
      </c>
      <c r="G4" t="s">
        <v>47</v>
      </c>
      <c r="O4" s="6" t="s">
        <v>15</v>
      </c>
    </row>
    <row r="5" spans="1:15" x14ac:dyDescent="0.3">
      <c r="E5">
        <v>60</v>
      </c>
      <c r="F5">
        <v>2999.9802988000001</v>
      </c>
      <c r="G5" t="s">
        <v>48</v>
      </c>
      <c r="O5" s="6" t="s">
        <v>35</v>
      </c>
    </row>
    <row r="6" spans="1:15" x14ac:dyDescent="0.3">
      <c r="E6">
        <v>90</v>
      </c>
      <c r="F6">
        <v>2999.9340096374999</v>
      </c>
      <c r="G6" t="s">
        <v>49</v>
      </c>
      <c r="O6" s="6" t="s">
        <v>36</v>
      </c>
    </row>
    <row r="7" spans="1:15" x14ac:dyDescent="0.3">
      <c r="E7">
        <v>120</v>
      </c>
      <c r="F7">
        <v>2999.8447615999999</v>
      </c>
      <c r="G7" t="s">
        <v>50</v>
      </c>
    </row>
    <row r="8" spans="1:15" x14ac:dyDescent="0.3">
      <c r="E8">
        <v>150</v>
      </c>
      <c r="F8">
        <v>2999.6991015624999</v>
      </c>
      <c r="G8" t="s">
        <v>51</v>
      </c>
    </row>
    <row r="9" spans="1:15" x14ac:dyDescent="0.3">
      <c r="E9">
        <v>180</v>
      </c>
      <c r="F9">
        <v>2999.4840084000002</v>
      </c>
      <c r="G9" t="s">
        <v>52</v>
      </c>
    </row>
    <row r="10" spans="1:15" x14ac:dyDescent="0.3">
      <c r="E10">
        <v>210</v>
      </c>
      <c r="F10">
        <v>2999.1868884874998</v>
      </c>
      <c r="G10" t="s">
        <v>53</v>
      </c>
    </row>
    <row r="11" spans="1:15" x14ac:dyDescent="0.3">
      <c r="E11">
        <v>240</v>
      </c>
      <c r="F11">
        <v>2998.7955711999998</v>
      </c>
      <c r="G11" t="s">
        <v>54</v>
      </c>
    </row>
    <row r="12" spans="1:15" x14ac:dyDescent="0.3">
      <c r="E12">
        <v>270</v>
      </c>
      <c r="F12">
        <v>2998.2983044124999</v>
      </c>
      <c r="G12" t="s">
        <v>55</v>
      </c>
    </row>
    <row r="13" spans="1:15" x14ac:dyDescent="0.3">
      <c r="E13">
        <v>300</v>
      </c>
      <c r="F13">
        <v>2997.6837500000001</v>
      </c>
      <c r="G13" t="s">
        <v>56</v>
      </c>
    </row>
    <row r="14" spans="1:15" x14ac:dyDescent="0.3">
      <c r="E14">
        <v>330</v>
      </c>
      <c r="F14">
        <v>2996.9409793374998</v>
      </c>
      <c r="G14" t="s">
        <v>57</v>
      </c>
    </row>
    <row r="15" spans="1:15" x14ac:dyDescent="0.3">
      <c r="E15">
        <v>360</v>
      </c>
      <c r="F15">
        <v>2996.0594688000001</v>
      </c>
      <c r="G15" t="s">
        <v>58</v>
      </c>
    </row>
    <row r="16" spans="1:15" x14ac:dyDescent="0.3">
      <c r="E16">
        <v>390</v>
      </c>
      <c r="F16">
        <v>2995.0290952625001</v>
      </c>
      <c r="G16" t="s">
        <v>59</v>
      </c>
    </row>
    <row r="17" spans="5:7" x14ac:dyDescent="0.3">
      <c r="E17">
        <v>420</v>
      </c>
      <c r="F17">
        <v>2993.8401315999999</v>
      </c>
      <c r="G17" t="s">
        <v>60</v>
      </c>
    </row>
    <row r="18" spans="5:7" x14ac:dyDescent="0.3">
      <c r="E18">
        <v>450</v>
      </c>
      <c r="F18">
        <v>2992.4832421874999</v>
      </c>
      <c r="G18" t="s">
        <v>61</v>
      </c>
    </row>
    <row r="19" spans="5:7" x14ac:dyDescent="0.3">
      <c r="E19">
        <v>480</v>
      </c>
      <c r="F19">
        <v>2990.9494783999999</v>
      </c>
      <c r="G19" t="s">
        <v>62</v>
      </c>
    </row>
    <row r="20" spans="5:7" x14ac:dyDescent="0.3">
      <c r="E20">
        <v>510</v>
      </c>
      <c r="F20">
        <v>2989.2302741125</v>
      </c>
      <c r="G20" t="s">
        <v>63</v>
      </c>
    </row>
    <row r="21" spans="5:7" x14ac:dyDescent="0.3">
      <c r="E21">
        <v>540</v>
      </c>
      <c r="F21">
        <v>2987.3174411999998</v>
      </c>
      <c r="G21" t="s">
        <v>64</v>
      </c>
    </row>
    <row r="22" spans="5:7" x14ac:dyDescent="0.3">
      <c r="E22">
        <v>570</v>
      </c>
      <c r="F22">
        <v>2985.2031650375002</v>
      </c>
      <c r="G22" t="s">
        <v>65</v>
      </c>
    </row>
    <row r="23" spans="5:7" x14ac:dyDescent="0.3">
      <c r="E23">
        <v>600</v>
      </c>
      <c r="F23">
        <v>2982.88</v>
      </c>
      <c r="G23" t="s">
        <v>66</v>
      </c>
    </row>
    <row r="24" spans="5:7" x14ac:dyDescent="0.3">
      <c r="E24">
        <v>630</v>
      </c>
      <c r="F24">
        <v>2980.3408649624998</v>
      </c>
      <c r="G24" t="s">
        <v>67</v>
      </c>
    </row>
    <row r="25" spans="5:7" x14ac:dyDescent="0.3">
      <c r="E25">
        <v>660</v>
      </c>
      <c r="F25">
        <v>2977.5790388</v>
      </c>
      <c r="G25" t="s">
        <v>68</v>
      </c>
    </row>
    <row r="26" spans="5:7" x14ac:dyDescent="0.3">
      <c r="E26">
        <v>690</v>
      </c>
      <c r="F26">
        <v>2974.5881558874999</v>
      </c>
      <c r="G26" t="s">
        <v>69</v>
      </c>
    </row>
    <row r="27" spans="5:7" x14ac:dyDescent="0.3">
      <c r="E27">
        <v>720</v>
      </c>
      <c r="F27">
        <v>2971.3622015999999</v>
      </c>
      <c r="G27" t="s">
        <v>70</v>
      </c>
    </row>
    <row r="28" spans="5:7" x14ac:dyDescent="0.3">
      <c r="E28">
        <v>750</v>
      </c>
      <c r="F28">
        <v>2967.8955078125</v>
      </c>
      <c r="G28" t="s">
        <v>71</v>
      </c>
    </row>
    <row r="29" spans="5:7" x14ac:dyDescent="0.3">
      <c r="E29">
        <v>780</v>
      </c>
      <c r="F29">
        <v>2964.1827484</v>
      </c>
      <c r="G29" t="s">
        <v>72</v>
      </c>
    </row>
    <row r="30" spans="5:7" x14ac:dyDescent="0.3">
      <c r="E30">
        <v>810</v>
      </c>
      <c r="F30">
        <v>2960.2189347375001</v>
      </c>
      <c r="G30" t="s">
        <v>73</v>
      </c>
    </row>
    <row r="31" spans="5:7" x14ac:dyDescent="0.3">
      <c r="E31">
        <v>840</v>
      </c>
      <c r="F31">
        <v>2955.9994111999999</v>
      </c>
      <c r="G31" t="s">
        <v>74</v>
      </c>
    </row>
    <row r="32" spans="5:7" x14ac:dyDescent="0.3">
      <c r="E32">
        <v>870</v>
      </c>
      <c r="F32">
        <v>2951.5198506625002</v>
      </c>
      <c r="G32" t="s">
        <v>75</v>
      </c>
    </row>
    <row r="33" spans="5:7" x14ac:dyDescent="0.3">
      <c r="E33">
        <v>900</v>
      </c>
      <c r="F33">
        <v>2946.7762499999999</v>
      </c>
      <c r="G33" t="s">
        <v>76</v>
      </c>
    </row>
    <row r="34" spans="5:7" x14ac:dyDescent="0.3">
      <c r="E34">
        <v>930</v>
      </c>
      <c r="F34">
        <v>2941.7649255874999</v>
      </c>
      <c r="G34" t="s">
        <v>77</v>
      </c>
    </row>
    <row r="35" spans="5:7" x14ac:dyDescent="0.3">
      <c r="E35">
        <v>960</v>
      </c>
      <c r="F35">
        <v>2936.4825087999998</v>
      </c>
      <c r="G35" t="s">
        <v>78</v>
      </c>
    </row>
    <row r="36" spans="5:7" x14ac:dyDescent="0.3">
      <c r="E36">
        <v>990</v>
      </c>
      <c r="F36">
        <v>2930.9259415124998</v>
      </c>
      <c r="G36" t="s">
        <v>79</v>
      </c>
    </row>
    <row r="37" spans="5:7" x14ac:dyDescent="0.3">
      <c r="E37">
        <v>1020</v>
      </c>
      <c r="F37">
        <v>2925.0924716</v>
      </c>
      <c r="G37" t="s">
        <v>80</v>
      </c>
    </row>
    <row r="38" spans="5:7" x14ac:dyDescent="0.3">
      <c r="E38">
        <v>1050</v>
      </c>
      <c r="F38">
        <v>2918.9796484375001</v>
      </c>
      <c r="G38" t="s">
        <v>81</v>
      </c>
    </row>
    <row r="39" spans="5:7" x14ac:dyDescent="0.3">
      <c r="E39">
        <v>1080</v>
      </c>
      <c r="F39">
        <v>2912.5853183999998</v>
      </c>
      <c r="G39" t="s">
        <v>82</v>
      </c>
    </row>
    <row r="40" spans="5:7" x14ac:dyDescent="0.3">
      <c r="E40">
        <v>1110</v>
      </c>
      <c r="F40">
        <v>2905.9076203625</v>
      </c>
      <c r="G40" t="s">
        <v>83</v>
      </c>
    </row>
    <row r="41" spans="5:7" x14ac:dyDescent="0.3">
      <c r="E41">
        <v>1140</v>
      </c>
      <c r="F41">
        <v>2898.9449811999998</v>
      </c>
      <c r="G41" t="s">
        <v>84</v>
      </c>
    </row>
    <row r="42" spans="5:7" x14ac:dyDescent="0.3">
      <c r="E42">
        <v>1170</v>
      </c>
      <c r="F42">
        <v>2891.6961112875001</v>
      </c>
      <c r="G42" t="s">
        <v>85</v>
      </c>
    </row>
    <row r="43" spans="5:7" x14ac:dyDescent="0.3">
      <c r="E43">
        <v>1200</v>
      </c>
      <c r="F43">
        <v>2884.16</v>
      </c>
      <c r="G43" t="s">
        <v>86</v>
      </c>
    </row>
    <row r="44" spans="5:7" x14ac:dyDescent="0.3">
      <c r="E44">
        <v>1230</v>
      </c>
      <c r="F44">
        <v>2876.3359112124999</v>
      </c>
      <c r="G44" t="s">
        <v>87</v>
      </c>
    </row>
    <row r="45" spans="5:7" x14ac:dyDescent="0.3">
      <c r="E45">
        <v>1260</v>
      </c>
      <c r="F45">
        <v>2868.2233787999999</v>
      </c>
      <c r="G45" t="s">
        <v>88</v>
      </c>
    </row>
    <row r="46" spans="5:7" x14ac:dyDescent="0.3">
      <c r="E46">
        <v>1290</v>
      </c>
      <c r="F46">
        <v>2859.8222021375</v>
      </c>
      <c r="G46" t="s">
        <v>89</v>
      </c>
    </row>
    <row r="47" spans="5:7" x14ac:dyDescent="0.3">
      <c r="E47">
        <v>1320</v>
      </c>
      <c r="F47">
        <v>2851.1324416000002</v>
      </c>
      <c r="G47" t="s">
        <v>90</v>
      </c>
    </row>
    <row r="48" spans="5:7" x14ac:dyDescent="0.3">
      <c r="E48">
        <v>1350</v>
      </c>
      <c r="F48">
        <v>2842.1544140625001</v>
      </c>
      <c r="G48" t="s">
        <v>91</v>
      </c>
    </row>
    <row r="49" spans="5:7" x14ac:dyDescent="0.3">
      <c r="E49">
        <v>1380</v>
      </c>
      <c r="F49">
        <v>2832.8886883999999</v>
      </c>
      <c r="G49" t="s">
        <v>92</v>
      </c>
    </row>
    <row r="50" spans="5:7" x14ac:dyDescent="0.3">
      <c r="E50">
        <v>1410</v>
      </c>
      <c r="F50">
        <v>2823.3360809875003</v>
      </c>
      <c r="G50" t="s">
        <v>93</v>
      </c>
    </row>
    <row r="51" spans="5:7" x14ac:dyDescent="0.3">
      <c r="E51">
        <v>1440</v>
      </c>
      <c r="F51">
        <v>2813.4976511999998</v>
      </c>
      <c r="G51" t="s">
        <v>94</v>
      </c>
    </row>
    <row r="52" spans="5:7" x14ac:dyDescent="0.3">
      <c r="E52">
        <v>1470</v>
      </c>
      <c r="F52">
        <v>2803.3746969125</v>
      </c>
      <c r="G52" t="s">
        <v>95</v>
      </c>
    </row>
    <row r="53" spans="5:7" x14ac:dyDescent="0.3">
      <c r="E53">
        <v>1500</v>
      </c>
      <c r="F53">
        <v>2792.96875</v>
      </c>
      <c r="G53" t="s">
        <v>96</v>
      </c>
    </row>
    <row r="54" spans="5:7" x14ac:dyDescent="0.3">
      <c r="E54">
        <v>1530</v>
      </c>
      <c r="F54">
        <v>2782.2815718375</v>
      </c>
      <c r="G54" t="s">
        <v>97</v>
      </c>
    </row>
    <row r="55" spans="5:7" x14ac:dyDescent="0.3">
      <c r="E55">
        <v>1560</v>
      </c>
      <c r="F55">
        <v>2771.3151487999999</v>
      </c>
      <c r="G55" t="s">
        <v>98</v>
      </c>
    </row>
    <row r="56" spans="5:7" x14ac:dyDescent="0.3">
      <c r="E56">
        <v>1590</v>
      </c>
      <c r="F56">
        <v>2760.0716877625</v>
      </c>
      <c r="G56" t="s">
        <v>99</v>
      </c>
    </row>
    <row r="57" spans="5:7" x14ac:dyDescent="0.3">
      <c r="E57">
        <v>1620</v>
      </c>
      <c r="F57">
        <v>2748.5536115999998</v>
      </c>
      <c r="G57" t="s">
        <v>100</v>
      </c>
    </row>
    <row r="58" spans="5:7" x14ac:dyDescent="0.3">
      <c r="E58">
        <v>1650</v>
      </c>
      <c r="F58">
        <v>2736.7635546874999</v>
      </c>
      <c r="G58" t="s">
        <v>101</v>
      </c>
    </row>
    <row r="59" spans="5:7" x14ac:dyDescent="0.3">
      <c r="E59">
        <v>1680</v>
      </c>
      <c r="F59">
        <v>2724.7043583999998</v>
      </c>
      <c r="G59" t="s">
        <v>102</v>
      </c>
    </row>
    <row r="60" spans="5:7" x14ac:dyDescent="0.3">
      <c r="E60">
        <v>1710</v>
      </c>
      <c r="F60">
        <v>2712.3790666125001</v>
      </c>
      <c r="G60" t="s">
        <v>103</v>
      </c>
    </row>
    <row r="61" spans="5:7" x14ac:dyDescent="0.3">
      <c r="E61">
        <v>1740</v>
      </c>
      <c r="F61">
        <v>2699.7909212</v>
      </c>
      <c r="G61" t="s">
        <v>104</v>
      </c>
    </row>
    <row r="62" spans="5:7" x14ac:dyDescent="0.3">
      <c r="E62">
        <v>1770</v>
      </c>
      <c r="F62">
        <v>2686.9433575375001</v>
      </c>
      <c r="G62" t="s">
        <v>105</v>
      </c>
    </row>
    <row r="63" spans="5:7" x14ac:dyDescent="0.3">
      <c r="E63">
        <v>1800</v>
      </c>
      <c r="F63">
        <v>2673.84</v>
      </c>
      <c r="G63" t="s">
        <v>106</v>
      </c>
    </row>
    <row r="64" spans="5:7" x14ac:dyDescent="0.3">
      <c r="E64">
        <v>1830</v>
      </c>
      <c r="F64">
        <v>2660.4846574624999</v>
      </c>
      <c r="G64" t="s">
        <v>107</v>
      </c>
    </row>
    <row r="65" spans="5:7" x14ac:dyDescent="0.3">
      <c r="E65">
        <v>1860</v>
      </c>
      <c r="F65">
        <v>2646.8813187999999</v>
      </c>
      <c r="G65" t="s">
        <v>108</v>
      </c>
    </row>
    <row r="66" spans="5:7" x14ac:dyDescent="0.3">
      <c r="E66">
        <v>1890</v>
      </c>
      <c r="F66">
        <v>2633.0341483875</v>
      </c>
      <c r="G66" t="s">
        <v>109</v>
      </c>
    </row>
    <row r="67" spans="5:7" x14ac:dyDescent="0.3">
      <c r="E67">
        <v>1920</v>
      </c>
      <c r="F67">
        <v>2618.9474815999997</v>
      </c>
      <c r="G67" t="s">
        <v>110</v>
      </c>
    </row>
    <row r="68" spans="5:7" x14ac:dyDescent="0.3">
      <c r="E68">
        <v>1950</v>
      </c>
      <c r="F68">
        <v>2604.6258203124999</v>
      </c>
      <c r="G68" t="s">
        <v>111</v>
      </c>
    </row>
    <row r="69" spans="5:7" x14ac:dyDescent="0.3">
      <c r="E69">
        <v>1980</v>
      </c>
      <c r="F69">
        <v>2590.0738283999999</v>
      </c>
      <c r="G69" t="s">
        <v>112</v>
      </c>
    </row>
    <row r="70" spans="5:7" x14ac:dyDescent="0.3">
      <c r="E70">
        <v>2010</v>
      </c>
      <c r="F70">
        <v>2575.2963272375</v>
      </c>
      <c r="G70" t="s">
        <v>113</v>
      </c>
    </row>
    <row r="71" spans="5:7" x14ac:dyDescent="0.3">
      <c r="E71">
        <v>2040</v>
      </c>
      <c r="F71">
        <v>2560.2982911999998</v>
      </c>
      <c r="G71" t="s">
        <v>114</v>
      </c>
    </row>
    <row r="72" spans="5:7" x14ac:dyDescent="0.3">
      <c r="E72">
        <v>2070</v>
      </c>
      <c r="F72">
        <v>2545.0848431625</v>
      </c>
      <c r="G72" t="s">
        <v>115</v>
      </c>
    </row>
    <row r="73" spans="5:7" x14ac:dyDescent="0.3">
      <c r="E73">
        <v>2100</v>
      </c>
      <c r="F73">
        <v>2529.6612500000001</v>
      </c>
      <c r="G73" t="s">
        <v>116</v>
      </c>
    </row>
    <row r="74" spans="5:7" x14ac:dyDescent="0.3">
      <c r="E74">
        <v>2130</v>
      </c>
      <c r="F74">
        <v>2514.0329180875001</v>
      </c>
      <c r="G74" t="s">
        <v>117</v>
      </c>
    </row>
    <row r="75" spans="5:7" x14ac:dyDescent="0.3">
      <c r="E75">
        <v>2160</v>
      </c>
      <c r="F75">
        <v>2498.2053888</v>
      </c>
      <c r="G75" t="s">
        <v>118</v>
      </c>
    </row>
    <row r="76" spans="5:7" x14ac:dyDescent="0.3">
      <c r="E76">
        <v>2190</v>
      </c>
      <c r="F76">
        <v>2482.1843340124997</v>
      </c>
      <c r="G76" t="s">
        <v>119</v>
      </c>
    </row>
    <row r="77" spans="5:7" x14ac:dyDescent="0.3">
      <c r="E77">
        <v>2220</v>
      </c>
      <c r="F77">
        <v>2465.9755516</v>
      </c>
      <c r="G77" t="s">
        <v>120</v>
      </c>
    </row>
    <row r="78" spans="5:7" x14ac:dyDescent="0.3">
      <c r="E78">
        <v>2250</v>
      </c>
      <c r="F78">
        <v>2449.5849609375</v>
      </c>
      <c r="G78" t="s">
        <v>121</v>
      </c>
    </row>
    <row r="79" spans="5:7" x14ac:dyDescent="0.3">
      <c r="E79">
        <v>2280</v>
      </c>
      <c r="F79">
        <v>2433.0185984</v>
      </c>
      <c r="G79" t="s">
        <v>122</v>
      </c>
    </row>
    <row r="80" spans="5:7" x14ac:dyDescent="0.3">
      <c r="E80">
        <v>2310</v>
      </c>
      <c r="F80">
        <v>2416.2826128625002</v>
      </c>
      <c r="G80" t="s">
        <v>123</v>
      </c>
    </row>
    <row r="81" spans="5:7" x14ac:dyDescent="0.3">
      <c r="E81">
        <v>2340</v>
      </c>
      <c r="F81">
        <v>2399.3832612000001</v>
      </c>
      <c r="G81" t="s">
        <v>124</v>
      </c>
    </row>
    <row r="82" spans="5:7" x14ac:dyDescent="0.3">
      <c r="E82">
        <v>2370</v>
      </c>
      <c r="F82">
        <v>2382.3269037874998</v>
      </c>
      <c r="G82" t="s">
        <v>125</v>
      </c>
    </row>
    <row r="83" spans="5:7" x14ac:dyDescent="0.3">
      <c r="E83">
        <v>2400</v>
      </c>
      <c r="F83">
        <v>2365.12</v>
      </c>
      <c r="G83" t="s">
        <v>126</v>
      </c>
    </row>
    <row r="84" spans="5:7" x14ac:dyDescent="0.3">
      <c r="E84">
        <v>2430</v>
      </c>
      <c r="F84">
        <v>2347.7691037125001</v>
      </c>
      <c r="G84" t="s">
        <v>127</v>
      </c>
    </row>
    <row r="85" spans="5:7" x14ac:dyDescent="0.3">
      <c r="E85">
        <v>2460</v>
      </c>
      <c r="F85">
        <v>2330.2808588000003</v>
      </c>
      <c r="G85" t="s">
        <v>128</v>
      </c>
    </row>
    <row r="86" spans="5:7" x14ac:dyDescent="0.3">
      <c r="E86">
        <v>2490</v>
      </c>
      <c r="F86">
        <v>2312.6619946374999</v>
      </c>
      <c r="G86" t="s">
        <v>129</v>
      </c>
    </row>
    <row r="87" spans="5:7" x14ac:dyDescent="0.3">
      <c r="E87">
        <v>2520</v>
      </c>
      <c r="F87">
        <v>2294.9193216000003</v>
      </c>
      <c r="G87" t="s">
        <v>130</v>
      </c>
    </row>
    <row r="88" spans="5:7" x14ac:dyDescent="0.3">
      <c r="E88">
        <v>2550</v>
      </c>
      <c r="F88">
        <v>2277.0597265625001</v>
      </c>
      <c r="G88" t="s">
        <v>131</v>
      </c>
    </row>
    <row r="89" spans="5:7" x14ac:dyDescent="0.3">
      <c r="E89">
        <v>2580</v>
      </c>
      <c r="F89">
        <v>2259.0901684</v>
      </c>
      <c r="G89" t="s">
        <v>132</v>
      </c>
    </row>
    <row r="90" spans="5:7" x14ac:dyDescent="0.3">
      <c r="E90">
        <v>2610</v>
      </c>
      <c r="F90">
        <v>2241.0176734874999</v>
      </c>
      <c r="G90" t="s">
        <v>133</v>
      </c>
    </row>
    <row r="91" spans="5:7" x14ac:dyDescent="0.3">
      <c r="E91">
        <v>2640</v>
      </c>
      <c r="F91">
        <v>2222.8493312000001</v>
      </c>
      <c r="G91" t="s">
        <v>134</v>
      </c>
    </row>
    <row r="92" spans="5:7" x14ac:dyDescent="0.3">
      <c r="E92">
        <v>2670</v>
      </c>
      <c r="F92">
        <v>2204.5922894125001</v>
      </c>
      <c r="G92" t="s">
        <v>135</v>
      </c>
    </row>
    <row r="93" spans="5:7" x14ac:dyDescent="0.3">
      <c r="E93">
        <v>2700</v>
      </c>
      <c r="F93">
        <v>2186.2537499999999</v>
      </c>
      <c r="G93" t="s">
        <v>136</v>
      </c>
    </row>
    <row r="94" spans="5:7" x14ac:dyDescent="0.3">
      <c r="E94">
        <v>2730</v>
      </c>
      <c r="F94">
        <v>2167.8409643374998</v>
      </c>
      <c r="G94" t="s">
        <v>137</v>
      </c>
    </row>
    <row r="95" spans="5:7" x14ac:dyDescent="0.3">
      <c r="E95">
        <v>2760</v>
      </c>
      <c r="F95">
        <v>2149.3612288000004</v>
      </c>
      <c r="G95" t="s">
        <v>138</v>
      </c>
    </row>
    <row r="96" spans="5:7" x14ac:dyDescent="0.3">
      <c r="E96">
        <v>2790</v>
      </c>
      <c r="F96">
        <v>2130.8218802625001</v>
      </c>
      <c r="G96" t="s">
        <v>139</v>
      </c>
    </row>
    <row r="97" spans="5:7" x14ac:dyDescent="0.3">
      <c r="E97">
        <v>2820</v>
      </c>
      <c r="F97">
        <v>2112.2302916000003</v>
      </c>
      <c r="G97" t="s">
        <v>140</v>
      </c>
    </row>
    <row r="98" spans="5:7" x14ac:dyDescent="0.3">
      <c r="E98">
        <v>2850</v>
      </c>
      <c r="F98">
        <v>2093.5938671875001</v>
      </c>
      <c r="G98" t="s">
        <v>141</v>
      </c>
    </row>
    <row r="99" spans="5:7" x14ac:dyDescent="0.3">
      <c r="E99">
        <v>2880</v>
      </c>
      <c r="F99">
        <v>2074.9200383999996</v>
      </c>
      <c r="G99" t="s">
        <v>142</v>
      </c>
    </row>
    <row r="100" spans="5:7" x14ac:dyDescent="0.3">
      <c r="E100">
        <v>2910</v>
      </c>
      <c r="F100">
        <v>2056.2162591124998</v>
      </c>
      <c r="G100" t="s">
        <v>143</v>
      </c>
    </row>
    <row r="101" spans="5:7" x14ac:dyDescent="0.3">
      <c r="E101">
        <v>2940</v>
      </c>
      <c r="F101">
        <v>2037.4900012000003</v>
      </c>
      <c r="G101" t="s">
        <v>144</v>
      </c>
    </row>
    <row r="102" spans="5:7" x14ac:dyDescent="0.3">
      <c r="E102">
        <v>2970</v>
      </c>
      <c r="F102">
        <v>2018.7487500375</v>
      </c>
      <c r="G102" t="s">
        <v>145</v>
      </c>
    </row>
    <row r="103" spans="5:7" x14ac:dyDescent="0.3">
      <c r="E103">
        <v>3000</v>
      </c>
      <c r="F103">
        <v>2000</v>
      </c>
      <c r="G103" t="s">
        <v>146</v>
      </c>
    </row>
    <row r="104" spans="5:7" x14ac:dyDescent="0.3">
      <c r="E104">
        <v>3030</v>
      </c>
      <c r="F104">
        <v>1981.2512499625004</v>
      </c>
      <c r="G104" t="s">
        <v>147</v>
      </c>
    </row>
    <row r="105" spans="5:7" x14ac:dyDescent="0.3">
      <c r="E105">
        <v>3060</v>
      </c>
      <c r="F105">
        <v>1962.5099988000004</v>
      </c>
      <c r="G105" t="s">
        <v>148</v>
      </c>
    </row>
    <row r="106" spans="5:7" x14ac:dyDescent="0.3">
      <c r="E106">
        <v>3090</v>
      </c>
      <c r="F106">
        <v>1943.7837408875</v>
      </c>
      <c r="G106" t="s">
        <v>149</v>
      </c>
    </row>
    <row r="107" spans="5:7" x14ac:dyDescent="0.3">
      <c r="E107">
        <v>3120</v>
      </c>
      <c r="F107">
        <v>1925.0799615999997</v>
      </c>
      <c r="G107" t="s">
        <v>150</v>
      </c>
    </row>
    <row r="108" spans="5:7" x14ac:dyDescent="0.3">
      <c r="E108">
        <v>3150</v>
      </c>
      <c r="F108">
        <v>1906.4061328124994</v>
      </c>
      <c r="G108" t="s">
        <v>151</v>
      </c>
    </row>
    <row r="109" spans="5:7" x14ac:dyDescent="0.3">
      <c r="E109">
        <v>3180</v>
      </c>
      <c r="F109">
        <v>1887.7697083999997</v>
      </c>
      <c r="G109" t="s">
        <v>152</v>
      </c>
    </row>
    <row r="110" spans="5:7" x14ac:dyDescent="0.3">
      <c r="E110">
        <v>3210</v>
      </c>
      <c r="F110">
        <v>1869.1781197374994</v>
      </c>
      <c r="G110" t="s">
        <v>153</v>
      </c>
    </row>
    <row r="111" spans="5:7" x14ac:dyDescent="0.3">
      <c r="E111">
        <v>3240</v>
      </c>
      <c r="F111">
        <v>1850.6387711999998</v>
      </c>
      <c r="G111" t="s">
        <v>154</v>
      </c>
    </row>
    <row r="112" spans="5:7" x14ac:dyDescent="0.3">
      <c r="E112">
        <v>3270</v>
      </c>
      <c r="F112">
        <v>1832.1590356624999</v>
      </c>
      <c r="G112" t="s">
        <v>155</v>
      </c>
    </row>
    <row r="113" spans="5:7" x14ac:dyDescent="0.3">
      <c r="E113">
        <v>3300</v>
      </c>
      <c r="F113">
        <v>1813.7462499999995</v>
      </c>
      <c r="G113" t="s">
        <v>156</v>
      </c>
    </row>
    <row r="114" spans="5:7" x14ac:dyDescent="0.3">
      <c r="E114">
        <v>3330</v>
      </c>
      <c r="F114">
        <v>1795.4077105874999</v>
      </c>
      <c r="G114" t="s">
        <v>157</v>
      </c>
    </row>
    <row r="115" spans="5:7" x14ac:dyDescent="0.3">
      <c r="E115">
        <v>3360</v>
      </c>
      <c r="F115">
        <v>1777.1506687999999</v>
      </c>
      <c r="G115" t="s">
        <v>158</v>
      </c>
    </row>
    <row r="116" spans="5:7" x14ac:dyDescent="0.3">
      <c r="E116">
        <v>3390</v>
      </c>
      <c r="F116">
        <v>1758.9823265125003</v>
      </c>
      <c r="G116" t="s">
        <v>159</v>
      </c>
    </row>
    <row r="117" spans="5:7" x14ac:dyDescent="0.3">
      <c r="E117">
        <v>3420</v>
      </c>
      <c r="F117">
        <v>1740.9098316000002</v>
      </c>
      <c r="G117" t="s">
        <v>160</v>
      </c>
    </row>
    <row r="118" spans="5:7" x14ac:dyDescent="0.3">
      <c r="E118">
        <v>3450</v>
      </c>
      <c r="F118">
        <v>1722.9402734375003</v>
      </c>
      <c r="G118" t="s">
        <v>161</v>
      </c>
    </row>
    <row r="119" spans="5:7" x14ac:dyDescent="0.3">
      <c r="E119">
        <v>3480</v>
      </c>
      <c r="F119">
        <v>1705.0806784000001</v>
      </c>
      <c r="G119" t="s">
        <v>162</v>
      </c>
    </row>
    <row r="120" spans="5:7" x14ac:dyDescent="0.3">
      <c r="E120">
        <v>3510</v>
      </c>
      <c r="F120">
        <v>1687.3380053625003</v>
      </c>
      <c r="G120" t="s">
        <v>163</v>
      </c>
    </row>
    <row r="121" spans="5:7" x14ac:dyDescent="0.3">
      <c r="E121">
        <v>3540</v>
      </c>
      <c r="F121">
        <v>1669.7191412</v>
      </c>
      <c r="G121" t="s">
        <v>164</v>
      </c>
    </row>
    <row r="122" spans="5:7" x14ac:dyDescent="0.3">
      <c r="E122">
        <v>3570</v>
      </c>
      <c r="F122">
        <v>1652.2308962875004</v>
      </c>
      <c r="G122" t="s">
        <v>165</v>
      </c>
    </row>
    <row r="123" spans="5:7" x14ac:dyDescent="0.3">
      <c r="E123">
        <v>3600</v>
      </c>
      <c r="F123">
        <v>1634.8799999999997</v>
      </c>
      <c r="G123" t="s">
        <v>166</v>
      </c>
    </row>
    <row r="124" spans="5:7" x14ac:dyDescent="0.3">
      <c r="E124">
        <v>3630</v>
      </c>
      <c r="F124">
        <v>1617.6730962125005</v>
      </c>
      <c r="G124" t="s">
        <v>167</v>
      </c>
    </row>
    <row r="125" spans="5:7" x14ac:dyDescent="0.3">
      <c r="E125">
        <v>3660</v>
      </c>
      <c r="F125">
        <v>1600.6167387999999</v>
      </c>
      <c r="G125" t="s">
        <v>168</v>
      </c>
    </row>
    <row r="126" spans="5:7" x14ac:dyDescent="0.3">
      <c r="E126">
        <v>3690</v>
      </c>
      <c r="F126">
        <v>1583.717387137501</v>
      </c>
      <c r="G126" t="s">
        <v>169</v>
      </c>
    </row>
    <row r="127" spans="5:7" x14ac:dyDescent="0.3">
      <c r="E127">
        <v>3720</v>
      </c>
      <c r="F127">
        <v>1566.9814016000003</v>
      </c>
      <c r="G127" t="s">
        <v>170</v>
      </c>
    </row>
    <row r="128" spans="5:7" x14ac:dyDescent="0.3">
      <c r="E128">
        <v>3750</v>
      </c>
      <c r="F128">
        <v>1550.4150390625</v>
      </c>
      <c r="G128" t="s">
        <v>171</v>
      </c>
    </row>
    <row r="129" spans="5:7" x14ac:dyDescent="0.3">
      <c r="E129">
        <v>3780</v>
      </c>
      <c r="F129">
        <v>1534.0244484000002</v>
      </c>
      <c r="G129" t="s">
        <v>172</v>
      </c>
    </row>
    <row r="130" spans="5:7" x14ac:dyDescent="0.3">
      <c r="E130">
        <v>3810</v>
      </c>
      <c r="F130">
        <v>1517.8156659875003</v>
      </c>
      <c r="G130" t="s">
        <v>173</v>
      </c>
    </row>
    <row r="131" spans="5:7" x14ac:dyDescent="0.3">
      <c r="E131">
        <v>3840</v>
      </c>
      <c r="F131">
        <v>1501.7946111999984</v>
      </c>
      <c r="G131" t="s">
        <v>174</v>
      </c>
    </row>
    <row r="132" spans="5:7" x14ac:dyDescent="0.3">
      <c r="E132">
        <v>3870</v>
      </c>
      <c r="F132">
        <v>1485.9670819124997</v>
      </c>
      <c r="G132" t="s">
        <v>175</v>
      </c>
    </row>
    <row r="133" spans="5:7" x14ac:dyDescent="0.3">
      <c r="E133">
        <v>3900</v>
      </c>
      <c r="F133">
        <v>1470.3387499999994</v>
      </c>
      <c r="G133" t="s">
        <v>176</v>
      </c>
    </row>
    <row r="134" spans="5:7" x14ac:dyDescent="0.3">
      <c r="E134">
        <v>3930</v>
      </c>
      <c r="F134">
        <v>1454.9151568374996</v>
      </c>
      <c r="G134" t="s">
        <v>177</v>
      </c>
    </row>
    <row r="135" spans="5:7" x14ac:dyDescent="0.3">
      <c r="E135">
        <v>3960</v>
      </c>
      <c r="F135">
        <v>1439.7017088</v>
      </c>
      <c r="G135" t="s">
        <v>178</v>
      </c>
    </row>
    <row r="136" spans="5:7" x14ac:dyDescent="0.3">
      <c r="E136">
        <v>3990</v>
      </c>
      <c r="F136">
        <v>1424.7036727625009</v>
      </c>
      <c r="G136" t="s">
        <v>179</v>
      </c>
    </row>
    <row r="137" spans="5:7" x14ac:dyDescent="0.3">
      <c r="E137">
        <v>4020</v>
      </c>
      <c r="F137">
        <v>1409.9261716000005</v>
      </c>
      <c r="G137" t="s">
        <v>180</v>
      </c>
    </row>
    <row r="138" spans="5:7" x14ac:dyDescent="0.3">
      <c r="E138">
        <v>4050</v>
      </c>
      <c r="F138">
        <v>1395.3741796875004</v>
      </c>
      <c r="G138" t="s">
        <v>181</v>
      </c>
    </row>
    <row r="139" spans="5:7" x14ac:dyDescent="0.3">
      <c r="E139">
        <v>4080</v>
      </c>
      <c r="F139">
        <v>1381.0525184000003</v>
      </c>
      <c r="G139" t="s">
        <v>182</v>
      </c>
    </row>
    <row r="140" spans="5:7" x14ac:dyDescent="0.3">
      <c r="E140">
        <v>4110</v>
      </c>
      <c r="F140">
        <v>1366.9658516124996</v>
      </c>
      <c r="G140" t="s">
        <v>183</v>
      </c>
    </row>
    <row r="141" spans="5:7" x14ac:dyDescent="0.3">
      <c r="E141">
        <v>4140</v>
      </c>
      <c r="F141">
        <v>1353.1186811999994</v>
      </c>
      <c r="G141" t="s">
        <v>184</v>
      </c>
    </row>
    <row r="142" spans="5:7" x14ac:dyDescent="0.3">
      <c r="E142">
        <v>4170</v>
      </c>
      <c r="F142">
        <v>1339.5153425375004</v>
      </c>
      <c r="G142" t="s">
        <v>185</v>
      </c>
    </row>
    <row r="143" spans="5:7" x14ac:dyDescent="0.3">
      <c r="E143">
        <v>4200</v>
      </c>
      <c r="F143">
        <v>1326.1599999999999</v>
      </c>
      <c r="G143" t="s">
        <v>186</v>
      </c>
    </row>
    <row r="144" spans="5:7" x14ac:dyDescent="0.3">
      <c r="E144">
        <v>4230</v>
      </c>
      <c r="F144">
        <v>1313.056642462501</v>
      </c>
      <c r="G144" t="s">
        <v>187</v>
      </c>
    </row>
    <row r="145" spans="5:7" x14ac:dyDescent="0.3">
      <c r="E145">
        <v>4260</v>
      </c>
      <c r="F145">
        <v>1300.2090787999991</v>
      </c>
      <c r="G145" t="s">
        <v>188</v>
      </c>
    </row>
    <row r="146" spans="5:7" x14ac:dyDescent="0.3">
      <c r="E146">
        <v>4290</v>
      </c>
      <c r="F146">
        <v>1287.6209333875001</v>
      </c>
      <c r="G146" t="s">
        <v>189</v>
      </c>
    </row>
    <row r="147" spans="5:7" x14ac:dyDescent="0.3">
      <c r="E147">
        <v>4320</v>
      </c>
      <c r="F147">
        <v>1275.2956415999993</v>
      </c>
      <c r="G147" t="s">
        <v>190</v>
      </c>
    </row>
    <row r="148" spans="5:7" x14ac:dyDescent="0.3">
      <c r="E148">
        <v>4350</v>
      </c>
      <c r="F148">
        <v>1263.2364453125003</v>
      </c>
      <c r="G148" t="s">
        <v>191</v>
      </c>
    </row>
    <row r="149" spans="5:7" x14ac:dyDescent="0.3">
      <c r="E149">
        <v>4380</v>
      </c>
      <c r="F149">
        <v>1251.4463883999988</v>
      </c>
      <c r="G149" t="s">
        <v>192</v>
      </c>
    </row>
    <row r="150" spans="5:7" x14ac:dyDescent="0.3">
      <c r="E150">
        <v>4410</v>
      </c>
      <c r="F150">
        <v>1239.9283122374989</v>
      </c>
      <c r="G150" t="s">
        <v>193</v>
      </c>
    </row>
    <row r="151" spans="5:7" x14ac:dyDescent="0.3">
      <c r="E151">
        <v>4440</v>
      </c>
      <c r="F151">
        <v>1228.6848512000001</v>
      </c>
      <c r="G151" t="s">
        <v>194</v>
      </c>
    </row>
    <row r="152" spans="5:7" x14ac:dyDescent="0.3">
      <c r="E152">
        <v>4470</v>
      </c>
      <c r="F152">
        <v>1217.7184281624989</v>
      </c>
      <c r="G152" t="s">
        <v>195</v>
      </c>
    </row>
    <row r="153" spans="5:7" x14ac:dyDescent="0.3">
      <c r="E153">
        <v>4500</v>
      </c>
      <c r="F153">
        <v>1207.03125</v>
      </c>
      <c r="G153" t="s">
        <v>196</v>
      </c>
    </row>
    <row r="154" spans="5:7" x14ac:dyDescent="0.3">
      <c r="E154">
        <v>4530</v>
      </c>
      <c r="F154">
        <v>1196.6253030875</v>
      </c>
      <c r="G154" t="s">
        <v>197</v>
      </c>
    </row>
    <row r="155" spans="5:7" x14ac:dyDescent="0.3">
      <c r="E155">
        <v>4560</v>
      </c>
      <c r="F155">
        <v>1186.5023487999986</v>
      </c>
      <c r="G155" t="s">
        <v>198</v>
      </c>
    </row>
    <row r="156" spans="5:7" x14ac:dyDescent="0.3">
      <c r="E156">
        <v>4590</v>
      </c>
      <c r="F156">
        <v>1176.6639190125004</v>
      </c>
      <c r="G156" t="s">
        <v>199</v>
      </c>
    </row>
    <row r="157" spans="5:7" x14ac:dyDescent="0.3">
      <c r="E157">
        <v>4620</v>
      </c>
      <c r="F157">
        <v>1167.1113115999995</v>
      </c>
      <c r="G157" t="s">
        <v>200</v>
      </c>
    </row>
    <row r="158" spans="5:7" x14ac:dyDescent="0.3">
      <c r="E158">
        <v>4650</v>
      </c>
      <c r="F158">
        <v>1157.8455859375003</v>
      </c>
      <c r="G158" t="s">
        <v>201</v>
      </c>
    </row>
    <row r="159" spans="5:7" x14ac:dyDescent="0.3">
      <c r="E159">
        <v>4680</v>
      </c>
      <c r="F159">
        <v>1148.8675584000018</v>
      </c>
      <c r="G159" t="s">
        <v>202</v>
      </c>
    </row>
    <row r="160" spans="5:7" x14ac:dyDescent="0.3">
      <c r="E160">
        <v>4710</v>
      </c>
      <c r="F160">
        <v>1140.1777978625</v>
      </c>
      <c r="G160" t="s">
        <v>203</v>
      </c>
    </row>
    <row r="161" spans="5:7" x14ac:dyDescent="0.3">
      <c r="E161">
        <v>4740</v>
      </c>
      <c r="F161">
        <v>1131.7766212000006</v>
      </c>
      <c r="G161" t="s">
        <v>204</v>
      </c>
    </row>
    <row r="162" spans="5:7" x14ac:dyDescent="0.3">
      <c r="E162">
        <v>4770</v>
      </c>
      <c r="F162">
        <v>1123.6640887874994</v>
      </c>
      <c r="G162" t="s">
        <v>205</v>
      </c>
    </row>
    <row r="163" spans="5:7" x14ac:dyDescent="0.3">
      <c r="E163">
        <v>4800</v>
      </c>
      <c r="F163">
        <v>1115.8400000000013</v>
      </c>
      <c r="G163" t="s">
        <v>206</v>
      </c>
    </row>
    <row r="164" spans="5:7" x14ac:dyDescent="0.3">
      <c r="E164">
        <v>4830</v>
      </c>
      <c r="F164">
        <v>1108.3038887124985</v>
      </c>
      <c r="G164" t="s">
        <v>207</v>
      </c>
    </row>
    <row r="165" spans="5:7" x14ac:dyDescent="0.3">
      <c r="E165">
        <v>4860</v>
      </c>
      <c r="F165">
        <v>1101.0550188000004</v>
      </c>
      <c r="G165" t="s">
        <v>208</v>
      </c>
    </row>
    <row r="166" spans="5:7" x14ac:dyDescent="0.3">
      <c r="E166">
        <v>4890</v>
      </c>
      <c r="F166">
        <v>1094.0923796375</v>
      </c>
      <c r="G166" t="s">
        <v>209</v>
      </c>
    </row>
    <row r="167" spans="5:7" x14ac:dyDescent="0.3">
      <c r="E167">
        <v>4920</v>
      </c>
      <c r="F167">
        <v>1087.4146816000002</v>
      </c>
      <c r="G167" t="s">
        <v>210</v>
      </c>
    </row>
    <row r="168" spans="5:7" x14ac:dyDescent="0.3">
      <c r="E168">
        <v>4950</v>
      </c>
      <c r="F168">
        <v>1081.0203515624969</v>
      </c>
      <c r="G168" t="s">
        <v>211</v>
      </c>
    </row>
    <row r="169" spans="5:7" x14ac:dyDescent="0.3">
      <c r="E169">
        <v>4980</v>
      </c>
      <c r="F169">
        <v>1074.9075284000007</v>
      </c>
      <c r="G169" t="s">
        <v>212</v>
      </c>
    </row>
    <row r="170" spans="5:7" x14ac:dyDescent="0.3">
      <c r="E170">
        <v>5010</v>
      </c>
      <c r="F170">
        <v>1069.0740584874998</v>
      </c>
      <c r="G170" t="s">
        <v>213</v>
      </c>
    </row>
    <row r="171" spans="5:7" x14ac:dyDescent="0.3">
      <c r="E171">
        <v>5040</v>
      </c>
      <c r="F171">
        <v>1063.5174912000007</v>
      </c>
      <c r="G171" t="s">
        <v>214</v>
      </c>
    </row>
    <row r="172" spans="5:7" x14ac:dyDescent="0.3">
      <c r="E172">
        <v>5070</v>
      </c>
      <c r="F172">
        <v>1058.2350744124999</v>
      </c>
      <c r="G172" t="s">
        <v>215</v>
      </c>
    </row>
    <row r="173" spans="5:7" x14ac:dyDescent="0.3">
      <c r="E173">
        <v>5100</v>
      </c>
      <c r="F173">
        <v>1053.2237499999999</v>
      </c>
      <c r="G173" t="s">
        <v>216</v>
      </c>
    </row>
    <row r="174" spans="5:7" x14ac:dyDescent="0.3">
      <c r="E174">
        <v>5130</v>
      </c>
      <c r="F174">
        <v>1048.4801493375003</v>
      </c>
      <c r="G174" t="s">
        <v>217</v>
      </c>
    </row>
    <row r="175" spans="5:7" x14ac:dyDescent="0.3">
      <c r="E175">
        <v>5160</v>
      </c>
      <c r="F175">
        <v>1044.000588799996</v>
      </c>
      <c r="G175" t="s">
        <v>218</v>
      </c>
    </row>
    <row r="176" spans="5:7" x14ac:dyDescent="0.3">
      <c r="E176">
        <v>5190</v>
      </c>
      <c r="F176">
        <v>1039.7810652624973</v>
      </c>
      <c r="G176" t="s">
        <v>219</v>
      </c>
    </row>
    <row r="177" spans="5:7" x14ac:dyDescent="0.3">
      <c r="E177">
        <v>5220</v>
      </c>
      <c r="F177">
        <v>1035.8172516000002</v>
      </c>
      <c r="G177" t="s">
        <v>220</v>
      </c>
    </row>
    <row r="178" spans="5:7" x14ac:dyDescent="0.3">
      <c r="E178">
        <v>5250</v>
      </c>
      <c r="F178">
        <v>1032.1044921875</v>
      </c>
      <c r="G178" t="s">
        <v>221</v>
      </c>
    </row>
    <row r="179" spans="5:7" x14ac:dyDescent="0.3">
      <c r="E179">
        <v>5280</v>
      </c>
      <c r="F179">
        <v>1028.6377984000019</v>
      </c>
      <c r="G179" t="s">
        <v>222</v>
      </c>
    </row>
    <row r="180" spans="5:7" x14ac:dyDescent="0.3">
      <c r="E180">
        <v>5310</v>
      </c>
      <c r="F180">
        <v>1025.4118441125017</v>
      </c>
      <c r="G180" t="s">
        <v>223</v>
      </c>
    </row>
    <row r="181" spans="5:7" x14ac:dyDescent="0.3">
      <c r="E181">
        <v>5340</v>
      </c>
      <c r="F181">
        <v>1022.4209612000018</v>
      </c>
      <c r="G181" t="s">
        <v>224</v>
      </c>
    </row>
    <row r="182" spans="5:7" x14ac:dyDescent="0.3">
      <c r="E182">
        <v>5370</v>
      </c>
      <c r="F182">
        <v>1019.659135037502</v>
      </c>
      <c r="G182" t="s">
        <v>225</v>
      </c>
    </row>
    <row r="183" spans="5:7" x14ac:dyDescent="0.3">
      <c r="E183">
        <v>5400</v>
      </c>
      <c r="F183">
        <v>1017.1199999999994</v>
      </c>
      <c r="G183" t="s">
        <v>226</v>
      </c>
    </row>
    <row r="184" spans="5:7" x14ac:dyDescent="0.3">
      <c r="E184">
        <v>5430</v>
      </c>
      <c r="F184">
        <v>1014.7968349625014</v>
      </c>
      <c r="G184" t="s">
        <v>227</v>
      </c>
    </row>
    <row r="185" spans="5:7" x14ac:dyDescent="0.3">
      <c r="E185">
        <v>5460</v>
      </c>
      <c r="F185">
        <v>1012.6825587999999</v>
      </c>
      <c r="G185" t="s">
        <v>228</v>
      </c>
    </row>
    <row r="186" spans="5:7" x14ac:dyDescent="0.3">
      <c r="E186">
        <v>5490</v>
      </c>
      <c r="F186">
        <v>1010.769725887501</v>
      </c>
      <c r="G186" t="s">
        <v>229</v>
      </c>
    </row>
    <row r="187" spans="5:7" x14ac:dyDescent="0.3">
      <c r="E187">
        <v>5520</v>
      </c>
      <c r="F187">
        <v>1009.0505216000008</v>
      </c>
      <c r="G187" t="s">
        <v>230</v>
      </c>
    </row>
    <row r="188" spans="5:7" x14ac:dyDescent="0.3">
      <c r="E188">
        <v>5550</v>
      </c>
      <c r="F188">
        <v>1007.5167578124997</v>
      </c>
      <c r="G188" t="s">
        <v>231</v>
      </c>
    </row>
    <row r="189" spans="5:7" x14ac:dyDescent="0.3">
      <c r="E189">
        <v>5580</v>
      </c>
      <c r="F189">
        <v>1006.159868400001</v>
      </c>
      <c r="G189" t="s">
        <v>232</v>
      </c>
    </row>
    <row r="190" spans="5:7" x14ac:dyDescent="0.3">
      <c r="E190">
        <v>5610</v>
      </c>
      <c r="F190">
        <v>1004.9709047374993</v>
      </c>
      <c r="G190" t="s">
        <v>233</v>
      </c>
    </row>
    <row r="191" spans="5:7" x14ac:dyDescent="0.3">
      <c r="E191">
        <v>5640</v>
      </c>
      <c r="F191">
        <v>1003.9405312000031</v>
      </c>
      <c r="G191" t="s">
        <v>234</v>
      </c>
    </row>
    <row r="192" spans="5:7" x14ac:dyDescent="0.3">
      <c r="E192">
        <v>5670</v>
      </c>
      <c r="F192">
        <v>1003.0590206624997</v>
      </c>
      <c r="G192" t="s">
        <v>235</v>
      </c>
    </row>
    <row r="193" spans="5:7" x14ac:dyDescent="0.3">
      <c r="E193">
        <v>5700</v>
      </c>
      <c r="F193">
        <v>1002.3162499999999</v>
      </c>
      <c r="G193" t="s">
        <v>236</v>
      </c>
    </row>
    <row r="194" spans="5:7" x14ac:dyDescent="0.3">
      <c r="E194">
        <v>5730</v>
      </c>
      <c r="F194">
        <v>1001.7016955875029</v>
      </c>
      <c r="G194" t="s">
        <v>237</v>
      </c>
    </row>
    <row r="195" spans="5:7" x14ac:dyDescent="0.3">
      <c r="E195">
        <v>5760</v>
      </c>
      <c r="F195">
        <v>1001.2044287999977</v>
      </c>
      <c r="G195" t="s">
        <v>238</v>
      </c>
    </row>
    <row r="196" spans="5:7" x14ac:dyDescent="0.3">
      <c r="E196">
        <v>5790</v>
      </c>
      <c r="F196">
        <v>1000.8131115124997</v>
      </c>
      <c r="G196" t="s">
        <v>239</v>
      </c>
    </row>
    <row r="197" spans="5:7" x14ac:dyDescent="0.3">
      <c r="E197">
        <v>5820</v>
      </c>
      <c r="F197">
        <v>1000.5159916000005</v>
      </c>
      <c r="G197" t="s">
        <v>240</v>
      </c>
    </row>
    <row r="198" spans="5:7" x14ac:dyDescent="0.3">
      <c r="E198">
        <v>5850</v>
      </c>
      <c r="F198">
        <v>1000.3008984375015</v>
      </c>
      <c r="G198" t="s">
        <v>241</v>
      </c>
    </row>
    <row r="199" spans="5:7" x14ac:dyDescent="0.3">
      <c r="E199">
        <v>5880</v>
      </c>
      <c r="F199">
        <v>1000.1552384000015</v>
      </c>
      <c r="G199" t="s">
        <v>242</v>
      </c>
    </row>
    <row r="200" spans="5:7" x14ac:dyDescent="0.3">
      <c r="E200">
        <v>5910</v>
      </c>
      <c r="F200">
        <v>1000.065990362499</v>
      </c>
      <c r="G200" t="s">
        <v>243</v>
      </c>
    </row>
    <row r="201" spans="5:7" x14ac:dyDescent="0.3">
      <c r="E201">
        <v>5940</v>
      </c>
      <c r="F201">
        <v>1000.0197011999994</v>
      </c>
      <c r="G201" t="s">
        <v>244</v>
      </c>
    </row>
    <row r="202" spans="5:7" x14ac:dyDescent="0.3">
      <c r="E202">
        <v>5970</v>
      </c>
      <c r="F202">
        <v>1000.002481287499</v>
      </c>
      <c r="G202" t="s">
        <v>245</v>
      </c>
    </row>
    <row r="203" spans="5:7" x14ac:dyDescent="0.3">
      <c r="E203">
        <v>6000</v>
      </c>
      <c r="F203">
        <v>1000</v>
      </c>
      <c r="G203" t="s">
        <v>246</v>
      </c>
    </row>
  </sheetData>
  <dataConsolidate/>
  <phoneticPr fontId="3" type="noConversion"/>
  <dataValidations disablePrompts="1" count="1">
    <dataValidation type="list" allowBlank="1" showInputMessage="1" showErrorMessage="1" sqref="A1" xr:uid="{03FB7C97-81BC-4578-B3AC-645FE3A4A242}">
      <formula1>$O$1:$O$6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B697-D2D9-4AE8-A385-0C422847770D}">
  <dimension ref="A1"/>
  <sheetViews>
    <sheetView tabSelected="1" workbookViewId="0">
      <selection activeCell="F6" sqref="F6"/>
    </sheetView>
  </sheetViews>
  <sheetFormatPr defaultRowHeight="16.5" x14ac:dyDescent="0.3"/>
  <sheetData>
    <row r="1" spans="1:1" x14ac:dyDescent="0.3">
      <c r="A1" t="s">
        <v>247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EBF151-FE52-4C36-8CC1-5D933BB5C9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Cubic</vt:lpstr>
      <vt:lpstr>Cosine</vt:lpstr>
      <vt:lpstr>Morel</vt:lpstr>
      <vt:lpstr>2-Cubic</vt:lpstr>
      <vt:lpstr>4th-order</vt:lpstr>
      <vt:lpstr>5th-order</vt:lpstr>
      <vt:lpstr>팀장님</vt:lpstr>
      <vt:lpstr>Contour Design</vt:lpstr>
      <vt:lpstr>!@10qpalzm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KJY</dc:creator>
  <cp:lastModifiedBy>이원종</cp:lastModifiedBy>
  <dcterms:created xsi:type="dcterms:W3CDTF">2021-06-16T07:00:03Z</dcterms:created>
  <dcterms:modified xsi:type="dcterms:W3CDTF">2021-07-30T04:36:44Z</dcterms:modified>
</cp:coreProperties>
</file>